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ina" sheetId="1" r:id="rId5"/>
    <sheet state="visible" name="Uso personal" sheetId="2" r:id="rId6"/>
    <sheet state="visible" name="Aseo" sheetId="3" r:id="rId7"/>
    <sheet state="visible" name="Bebeca" sheetId="4" r:id="rId8"/>
  </sheets>
  <definedNames/>
  <calcPr/>
</workbook>
</file>

<file path=xl/sharedStrings.xml><?xml version="1.0" encoding="utf-8"?>
<sst xmlns="http://schemas.openxmlformats.org/spreadsheetml/2006/main" count="145" uniqueCount="43">
  <si>
    <t xml:space="preserve">Azucar </t>
  </si>
  <si>
    <t>Leche</t>
  </si>
  <si>
    <t>Sal</t>
  </si>
  <si>
    <t>Gramos</t>
  </si>
  <si>
    <t>Abierto</t>
  </si>
  <si>
    <t>Acabado</t>
  </si>
  <si>
    <t>Días</t>
  </si>
  <si>
    <t>Mililitros</t>
  </si>
  <si>
    <t>Cafe</t>
  </si>
  <si>
    <t>Huevos</t>
  </si>
  <si>
    <t xml:space="preserve">Harina de maiz </t>
  </si>
  <si>
    <t>Gramos/día</t>
  </si>
  <si>
    <t>Cantidad</t>
  </si>
  <si>
    <t>Huevos/dia</t>
  </si>
  <si>
    <t>Gramos/dia</t>
  </si>
  <si>
    <t>Chocolate</t>
  </si>
  <si>
    <t>Pastillas</t>
  </si>
  <si>
    <t>Pastillas/día</t>
  </si>
  <si>
    <t>Avena</t>
  </si>
  <si>
    <t>Panela en pedacitos</t>
  </si>
  <si>
    <t>Pedazos</t>
  </si>
  <si>
    <t>Pedazos/dia</t>
  </si>
  <si>
    <t>Arroz</t>
  </si>
  <si>
    <t>Pimienta</t>
  </si>
  <si>
    <t>Cereal</t>
  </si>
  <si>
    <t xml:space="preserve">Harina para pancakes </t>
  </si>
  <si>
    <t>Crema para peinar</t>
  </si>
  <si>
    <t>Crema dental</t>
  </si>
  <si>
    <t>Jabon de manos</t>
  </si>
  <si>
    <t>Jabon intimo</t>
  </si>
  <si>
    <t>Desodorante Raquel</t>
  </si>
  <si>
    <t>Protectores diarios</t>
  </si>
  <si>
    <t xml:space="preserve">Gramos </t>
  </si>
  <si>
    <t>Jabón para loza</t>
  </si>
  <si>
    <t>Desengrasante D1</t>
  </si>
  <si>
    <t>ml/dia</t>
  </si>
  <si>
    <t>Suavizante de ropa</t>
  </si>
  <si>
    <t>Pañales</t>
  </si>
  <si>
    <t>Shampoo</t>
  </si>
  <si>
    <t>pañales/dia</t>
  </si>
  <si>
    <t>Colonia</t>
  </si>
  <si>
    <t>Crema para cuerpo</t>
  </si>
  <si>
    <t>ml/día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</si>
</sst>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32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783F04"/>
        <bgColor rgb="FF783F04"/>
      </patternFill>
    </fill>
    <fill>
      <patternFill patternType="solid">
        <fgColor rgb="FFEA9999"/>
        <bgColor rgb="FFEA9999"/>
      </patternFill>
    </fill>
    <fill>
      <patternFill patternType="solid">
        <fgColor rgb="FFBF9000"/>
        <bgColor rgb="FFBF90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660000"/>
        <bgColor rgb="FF660000"/>
      </patternFill>
    </fill>
    <fill>
      <patternFill patternType="solid">
        <fgColor rgb="FFE69138"/>
        <bgColor rgb="FFE69138"/>
      </patternFill>
    </fill>
    <fill>
      <patternFill patternType="solid">
        <fgColor rgb="FF351C75"/>
        <bgColor rgb="FF351C75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B45F06"/>
        <bgColor rgb="FFB45F06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B029B0"/>
        <bgColor rgb="FFB029B0"/>
      </patternFill>
    </fill>
    <fill>
      <patternFill patternType="solid">
        <fgColor rgb="FFE4EEFF"/>
        <bgColor rgb="FFE4EEFF"/>
      </patternFill>
    </fill>
  </fills>
  <borders count="24">
    <border/>
    <border>
      <left style="thin">
        <color rgb="FFC9DAF8"/>
      </left>
      <top style="thin">
        <color rgb="FFC9DAF8"/>
      </top>
      <bottom style="thin">
        <color rgb="FFC9DAF8"/>
      </bottom>
    </border>
    <border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</border>
    <border>
      <left style="thin">
        <color rgb="FF4A86E8"/>
      </left>
      <right style="thin">
        <color rgb="FF4A86E8"/>
      </right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F9CB9C"/>
      </left>
      <top style="thin">
        <color rgb="FFF9CB9C"/>
      </top>
      <bottom style="thin">
        <color rgb="FFF9CB9C"/>
      </bottom>
    </border>
    <border>
      <top style="thin">
        <color rgb="FFF9CB9C"/>
      </top>
      <bottom style="thin">
        <color rgb="FFF9CB9C"/>
      </bottom>
    </border>
    <border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CE5CD"/>
      </left>
      <top style="thin">
        <color rgb="FFFCE5CD"/>
      </top>
      <bottom style="thin">
        <color rgb="FFFCE5CD"/>
      </bottom>
    </border>
    <border>
      <top style="thin">
        <color rgb="FFFCE5CD"/>
      </top>
      <bottom style="thin">
        <color rgb="FFFCE5CD"/>
      </bottom>
    </border>
    <border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783F04"/>
      </left>
      <right style="thin">
        <color rgb="FF783F04"/>
      </right>
      <bottom style="thin">
        <color rgb="FF783F04"/>
      </bottom>
    </border>
    <border>
      <left style="thin">
        <color rgb="FFB45F06"/>
      </left>
      <right style="thin">
        <color rgb="FFB45F06"/>
      </right>
      <bottom style="thin">
        <color rgb="FFB45F06"/>
      </bottom>
    </border>
    <border>
      <left style="thin">
        <color rgb="FF783F04"/>
      </left>
      <right style="thin">
        <color rgb="FF783F04"/>
      </right>
      <top style="thin">
        <color rgb="FF783F04"/>
      </top>
      <bottom style="thin">
        <color rgb="FF783F04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n">
        <color rgb="FFFCE5CD"/>
      </left>
      <right style="thin">
        <color rgb="FFFCE5CD"/>
      </right>
      <top style="thin">
        <color rgb="FFFCE5CD"/>
      </top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20124D"/>
      </left>
      <right style="thin">
        <color rgb="FF20124D"/>
      </right>
      <top style="thin">
        <color rgb="FF20124D"/>
      </top>
      <bottom style="thin">
        <color rgb="FF20124D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5" fontId="1" numFmtId="0" xfId="0" applyAlignment="1" applyBorder="1" applyFill="1" applyFont="1">
      <alignment horizontal="center" readingOrder="0"/>
    </xf>
    <xf borderId="6" fillId="5" fontId="1" numFmtId="165" xfId="0" applyAlignment="1" applyBorder="1" applyFont="1" applyNumberFormat="1">
      <alignment horizontal="center" readingOrder="0"/>
    </xf>
    <xf borderId="6" fillId="5" fontId="1" numFmtId="164" xfId="0" applyAlignment="1" applyBorder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7" fillId="6" fontId="1" numFmtId="0" xfId="0" applyAlignment="1" applyBorder="1" applyFill="1" applyFont="1">
      <alignment horizontal="center" readingOrder="0"/>
    </xf>
    <xf borderId="7" fillId="6" fontId="1" numFmtId="165" xfId="0" applyAlignment="1" applyBorder="1" applyFont="1" applyNumberFormat="1">
      <alignment horizontal="center" readingOrder="0"/>
    </xf>
    <xf borderId="0" fillId="6" fontId="1" numFmtId="0" xfId="0" applyAlignment="1" applyFont="1">
      <alignment horizontal="center" readingOrder="0"/>
    </xf>
    <xf borderId="7" fillId="7" fontId="1" numFmtId="0" xfId="0" applyAlignment="1" applyBorder="1" applyFill="1" applyFont="1">
      <alignment horizontal="center" readingOrder="0"/>
    </xf>
    <xf borderId="7" fillId="7" fontId="1" numFmtId="165" xfId="0" applyAlignment="1" applyBorder="1" applyFont="1" applyNumberFormat="1">
      <alignment horizontal="center" readingOrder="0"/>
    </xf>
    <xf borderId="0" fillId="5" fontId="1" numFmtId="164" xfId="0" applyAlignment="1" applyFont="1" applyNumberFormat="1">
      <alignment horizontal="center"/>
    </xf>
    <xf borderId="8" fillId="6" fontId="1" numFmtId="0" xfId="0" applyAlignment="1" applyBorder="1" applyFont="1">
      <alignment horizontal="center" readingOrder="0"/>
    </xf>
    <xf borderId="8" fillId="6" fontId="1" numFmtId="164" xfId="0" applyAlignment="1" applyBorder="1" applyFont="1" applyNumberFormat="1">
      <alignment horizontal="center" readingOrder="0"/>
    </xf>
    <xf borderId="8" fillId="7" fontId="1" numFmtId="0" xfId="0" applyAlignment="1" applyBorder="1" applyFont="1">
      <alignment horizontal="center" readingOrder="0"/>
    </xf>
    <xf borderId="8" fillId="7" fontId="1" numFmtId="164" xfId="0" applyAlignment="1" applyBorder="1" applyFont="1" applyNumberFormat="1">
      <alignment horizontal="center"/>
    </xf>
    <xf borderId="6" fillId="5" fontId="1" numFmtId="164" xfId="0" applyAlignment="1" applyBorder="1" applyFont="1" applyNumberFormat="1">
      <alignment horizontal="center"/>
    </xf>
    <xf borderId="8" fillId="7" fontId="1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7" fontId="1" numFmtId="164" xfId="0" applyAlignment="1" applyFont="1" applyNumberFormat="1">
      <alignment horizontal="center"/>
    </xf>
    <xf borderId="0" fillId="6" fontId="1" numFmtId="164" xfId="0" applyAlignment="1" applyFont="1" applyNumberFormat="1">
      <alignment horizontal="center" readingOrder="0"/>
    </xf>
    <xf borderId="9" fillId="8" fontId="2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0" fillId="8" fontId="2" numFmtId="0" xfId="0" applyAlignment="1" applyFont="1">
      <alignment horizontal="center" readingOrder="0"/>
    </xf>
    <xf borderId="12" fillId="9" fontId="2" numFmtId="0" xfId="0" applyAlignment="1" applyBorder="1" applyFill="1" applyFont="1">
      <alignment horizontal="center" readingOrder="0"/>
    </xf>
    <xf borderId="13" fillId="0" fontId="3" numFmtId="0" xfId="0" applyBorder="1" applyFont="1"/>
    <xf borderId="14" fillId="0" fontId="3" numFmtId="0" xfId="0" applyBorder="1" applyFont="1"/>
    <xf borderId="0" fillId="9" fontId="2" numFmtId="0" xfId="0" applyAlignment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5" fillId="8" fontId="2" numFmtId="0" xfId="0" applyAlignment="1" applyBorder="1" applyFont="1">
      <alignment horizontal="center" readingOrder="0"/>
    </xf>
    <xf borderId="16" fillId="9" fontId="2" numFmtId="0" xfId="0" applyAlignment="1" applyBorder="1" applyFont="1">
      <alignment horizontal="center" readingOrder="0"/>
    </xf>
    <xf borderId="5" fillId="10" fontId="2" numFmtId="0" xfId="0" applyAlignment="1" applyBorder="1" applyFont="1">
      <alignment horizontal="center" readingOrder="0"/>
    </xf>
    <xf borderId="17" fillId="11" fontId="1" numFmtId="0" xfId="0" applyAlignment="1" applyBorder="1" applyFill="1" applyFont="1">
      <alignment horizontal="center" readingOrder="0"/>
    </xf>
    <xf borderId="17" fillId="11" fontId="1" numFmtId="165" xfId="0" applyAlignment="1" applyBorder="1" applyFont="1" applyNumberFormat="1">
      <alignment horizontal="center" readingOrder="0"/>
    </xf>
    <xf borderId="17" fillId="11" fontId="1" numFmtId="164" xfId="0" applyAlignment="1" applyBorder="1" applyFont="1" applyNumberFormat="1">
      <alignment horizontal="center" readingOrder="0"/>
    </xf>
    <xf borderId="0" fillId="11" fontId="1" numFmtId="0" xfId="0" applyAlignment="1" applyFont="1">
      <alignment horizontal="center" readingOrder="0"/>
    </xf>
    <xf borderId="18" fillId="12" fontId="1" numFmtId="0" xfId="0" applyAlignment="1" applyBorder="1" applyFill="1" applyFont="1">
      <alignment horizontal="center" readingOrder="0"/>
    </xf>
    <xf borderId="18" fillId="12" fontId="1" numFmtId="165" xfId="0" applyAlignment="1" applyBorder="1" applyFont="1" applyNumberFormat="1">
      <alignment horizontal="center" readingOrder="0"/>
    </xf>
    <xf borderId="0" fillId="12" fontId="1" numFmtId="0" xfId="0" applyAlignment="1" applyFont="1">
      <alignment horizontal="center" readingOrder="0"/>
    </xf>
    <xf borderId="7" fillId="12" fontId="1" numFmtId="0" xfId="0" applyAlignment="1" applyBorder="1" applyFont="1">
      <alignment horizontal="center" readingOrder="0"/>
    </xf>
    <xf borderId="7" fillId="12" fontId="1" numFmtId="165" xfId="0" applyAlignment="1" applyBorder="1" applyFont="1" applyNumberFormat="1">
      <alignment horizontal="center" readingOrder="0"/>
    </xf>
    <xf borderId="7" fillId="12" fontId="1" numFmtId="164" xfId="0" applyAlignment="1" applyBorder="1" applyFont="1" applyNumberFormat="1">
      <alignment horizontal="center" readingOrder="0"/>
    </xf>
    <xf borderId="19" fillId="11" fontId="1" numFmtId="0" xfId="0" applyAlignment="1" applyBorder="1" applyFont="1">
      <alignment horizontal="center" readingOrder="0"/>
    </xf>
    <xf borderId="19" fillId="11" fontId="1" numFmtId="166" xfId="0" applyAlignment="1" applyBorder="1" applyFont="1" applyNumberFormat="1">
      <alignment horizontal="center" readingOrder="0"/>
    </xf>
    <xf borderId="19" fillId="11" fontId="1" numFmtId="164" xfId="0" applyAlignment="1" applyBorder="1" applyFont="1" applyNumberFormat="1">
      <alignment horizontal="center" readingOrder="0"/>
    </xf>
    <xf borderId="20" fillId="12" fontId="1" numFmtId="0" xfId="0" applyAlignment="1" applyBorder="1" applyFont="1">
      <alignment horizontal="center" readingOrder="0"/>
    </xf>
    <xf borderId="8" fillId="12" fontId="1" numFmtId="0" xfId="0" applyAlignment="1" applyBorder="1" applyFont="1">
      <alignment horizontal="center"/>
    </xf>
    <xf borderId="8" fillId="12" fontId="1" numFmtId="164" xfId="0" applyAlignment="1" applyBorder="1" applyFont="1" applyNumberFormat="1">
      <alignment horizontal="center"/>
    </xf>
    <xf borderId="0" fillId="12" fontId="1" numFmtId="0" xfId="0" applyAlignment="1" applyFont="1">
      <alignment horizontal="center"/>
    </xf>
    <xf borderId="0" fillId="12" fontId="1" numFmtId="164" xfId="0" applyAlignment="1" applyFont="1" applyNumberFormat="1">
      <alignment horizontal="center"/>
    </xf>
    <xf borderId="9" fillId="13" fontId="2" numFmtId="0" xfId="0" applyAlignment="1" applyBorder="1" applyFill="1" applyFont="1">
      <alignment horizontal="center" readingOrder="0"/>
    </xf>
    <xf borderId="15" fillId="13" fontId="2" numFmtId="0" xfId="0" applyAlignment="1" applyBorder="1" applyFont="1">
      <alignment horizontal="center" readingOrder="0"/>
    </xf>
    <xf borderId="0" fillId="11" fontId="1" numFmtId="164" xfId="0" applyAlignment="1" applyFont="1" applyNumberFormat="1">
      <alignment horizontal="center" readingOrder="0"/>
    </xf>
    <xf borderId="17" fillId="5" fontId="1" numFmtId="0" xfId="0" applyAlignment="1" applyBorder="1" applyFont="1">
      <alignment horizontal="center" readingOrder="0"/>
    </xf>
    <xf borderId="17" fillId="5" fontId="1" numFmtId="165" xfId="0" applyAlignment="1" applyBorder="1" applyFont="1" applyNumberFormat="1">
      <alignment horizontal="center" readingOrder="0"/>
    </xf>
    <xf borderId="19" fillId="5" fontId="1" numFmtId="164" xfId="0" applyAlignment="1" applyBorder="1" applyFont="1" applyNumberFormat="1">
      <alignment horizontal="center" readingOrder="0"/>
    </xf>
    <xf borderId="0" fillId="12" fontId="1" numFmtId="165" xfId="0" applyAlignment="1" applyFont="1" applyNumberFormat="1">
      <alignment horizontal="center" readingOrder="0"/>
    </xf>
    <xf borderId="19" fillId="5" fontId="1" numFmtId="0" xfId="0" applyAlignment="1" applyBorder="1" applyFont="1">
      <alignment horizontal="center" readingOrder="0"/>
    </xf>
    <xf borderId="19" fillId="5" fontId="1" numFmtId="166" xfId="0" applyAlignment="1" applyBorder="1" applyFont="1" applyNumberFormat="1">
      <alignment horizontal="center" readingOrder="0"/>
    </xf>
    <xf borderId="12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12" fillId="14" fontId="2" numFmtId="0" xfId="0" applyAlignment="1" applyBorder="1" applyFill="1" applyFont="1">
      <alignment horizontal="center" readingOrder="0"/>
    </xf>
    <xf borderId="0" fillId="14" fontId="2" numFmtId="0" xfId="0" applyAlignment="1" applyFont="1">
      <alignment horizontal="center" readingOrder="0"/>
    </xf>
    <xf borderId="21" fillId="4" fontId="2" numFmtId="0" xfId="0" applyAlignment="1" applyBorder="1" applyFont="1">
      <alignment horizontal="center" readingOrder="0"/>
    </xf>
    <xf borderId="21" fillId="14" fontId="2" numFmtId="0" xfId="0" applyAlignment="1" applyBorder="1" applyFont="1">
      <alignment horizontal="center" readingOrder="0"/>
    </xf>
    <xf borderId="22" fillId="6" fontId="1" numFmtId="0" xfId="0" applyAlignment="1" applyBorder="1" applyFont="1">
      <alignment horizontal="center" readingOrder="0"/>
    </xf>
    <xf borderId="22" fillId="6" fontId="1" numFmtId="165" xfId="0" applyAlignment="1" applyBorder="1" applyFont="1" applyNumberFormat="1">
      <alignment horizontal="center" readingOrder="0"/>
    </xf>
    <xf borderId="22" fillId="12" fontId="1" numFmtId="0" xfId="0" applyAlignment="1" applyBorder="1" applyFont="1">
      <alignment horizontal="center" readingOrder="0"/>
    </xf>
    <xf borderId="22" fillId="12" fontId="1" numFmtId="165" xfId="0" applyAlignment="1" applyBorder="1" applyFont="1" applyNumberFormat="1">
      <alignment horizontal="center" readingOrder="0"/>
    </xf>
    <xf borderId="0" fillId="6" fontId="1" numFmtId="164" xfId="0" applyAlignment="1" applyFont="1" applyNumberFormat="1">
      <alignment horizontal="center"/>
    </xf>
    <xf borderId="22" fillId="12" fontId="1" numFmtId="164" xfId="0" applyAlignment="1" applyBorder="1" applyFont="1" applyNumberFormat="1">
      <alignment horizontal="center" readingOrder="0"/>
    </xf>
    <xf borderId="0" fillId="6" fontId="1" numFmtId="165" xfId="0" applyAlignment="1" applyFont="1" applyNumberFormat="1">
      <alignment horizontal="center" readingOrder="0"/>
    </xf>
    <xf borderId="0" fillId="12" fontId="1" numFmtId="164" xfId="0" applyAlignment="1" applyFont="1" applyNumberFormat="1">
      <alignment horizontal="center" readingOrder="0"/>
    </xf>
    <xf borderId="12" fillId="15" fontId="2" numFmtId="0" xfId="0" applyAlignment="1" applyBorder="1" applyFill="1" applyFont="1">
      <alignment horizontal="center" readingOrder="0"/>
    </xf>
    <xf borderId="0" fillId="15" fontId="2" numFmtId="0" xfId="0" applyAlignment="1" applyFont="1">
      <alignment horizontal="center" readingOrder="0"/>
    </xf>
    <xf borderId="12" fillId="16" fontId="2" numFmtId="0" xfId="0" applyAlignment="1" applyBorder="1" applyFill="1" applyFont="1">
      <alignment horizontal="center" readingOrder="0"/>
    </xf>
    <xf borderId="0" fillId="16" fontId="2" numFmtId="0" xfId="0" applyAlignment="1" applyFont="1">
      <alignment horizontal="center" readingOrder="0"/>
    </xf>
    <xf borderId="21" fillId="15" fontId="2" numFmtId="0" xfId="0" applyAlignment="1" applyBorder="1" applyFont="1">
      <alignment horizontal="center" readingOrder="0"/>
    </xf>
    <xf borderId="21" fillId="16" fontId="2" numFmtId="0" xfId="0" applyAlignment="1" applyBorder="1" applyFont="1">
      <alignment horizontal="center" readingOrder="0"/>
    </xf>
    <xf borderId="23" fillId="17" fontId="1" numFmtId="0" xfId="0" applyAlignment="1" applyBorder="1" applyFill="1" applyFont="1">
      <alignment horizontal="center" readingOrder="0"/>
    </xf>
    <xf borderId="23" fillId="17" fontId="1" numFmtId="165" xfId="0" applyAlignment="1" applyBorder="1" applyFont="1" applyNumberFormat="1">
      <alignment horizontal="center" readingOrder="0"/>
    </xf>
    <xf borderId="0" fillId="17" fontId="1" numFmtId="0" xfId="0" applyAlignment="1" applyFont="1">
      <alignment horizontal="center" readingOrder="0"/>
    </xf>
    <xf borderId="22" fillId="18" fontId="1" numFmtId="0" xfId="0" applyAlignment="1" applyBorder="1" applyFill="1" applyFont="1">
      <alignment horizontal="center" readingOrder="0"/>
    </xf>
    <xf borderId="22" fillId="18" fontId="1" numFmtId="165" xfId="0" applyAlignment="1" applyBorder="1" applyFont="1" applyNumberFormat="1">
      <alignment horizontal="center" readingOrder="0"/>
    </xf>
    <xf borderId="22" fillId="18" fontId="1" numFmtId="164" xfId="0" applyAlignment="1" applyBorder="1" applyFont="1" applyNumberFormat="1">
      <alignment horizontal="center" readingOrder="0"/>
    </xf>
    <xf borderId="0" fillId="18" fontId="1" numFmtId="0" xfId="0" applyAlignment="1" applyFont="1">
      <alignment horizontal="center" readingOrder="0"/>
    </xf>
    <xf borderId="0" fillId="17" fontId="1" numFmtId="164" xfId="0" applyAlignment="1" applyFont="1" applyNumberFormat="1">
      <alignment horizontal="center"/>
    </xf>
    <xf borderId="22" fillId="18" fontId="1" numFmtId="166" xfId="0" applyAlignment="1" applyBorder="1" applyFont="1" applyNumberFormat="1">
      <alignment horizontal="center" readingOrder="0"/>
    </xf>
    <xf borderId="22" fillId="18" fontId="1" numFmtId="164" xfId="0" applyAlignment="1" applyBorder="1" applyFont="1" applyNumberFormat="1">
      <alignment horizontal="center"/>
    </xf>
    <xf borderId="0" fillId="18" fontId="1" numFmtId="164" xfId="0" applyAlignment="1" applyFont="1" applyNumberFormat="1">
      <alignment horizontal="center"/>
    </xf>
    <xf borderId="23" fillId="17" fontId="1" numFmtId="0" xfId="0" applyAlignment="1" applyBorder="1" applyFont="1">
      <alignment horizontal="center"/>
    </xf>
    <xf borderId="23" fillId="17" fontId="1" numFmtId="164" xfId="0" applyAlignment="1" applyBorder="1" applyFont="1" applyNumberFormat="1">
      <alignment horizontal="center"/>
    </xf>
    <xf borderId="22" fillId="18" fontId="1" numFmtId="0" xfId="0" applyAlignment="1" applyBorder="1" applyFont="1">
      <alignment horizontal="center"/>
    </xf>
    <xf borderId="19" fillId="11" fontId="1" numFmtId="164" xfId="0" applyAlignment="1" applyBorder="1" applyFont="1" applyNumberFormat="1">
      <alignment horizontal="center"/>
    </xf>
    <xf borderId="0" fillId="11" fontId="1" numFmtId="164" xfId="0" applyAlignment="1" applyFont="1" applyNumberFormat="1">
      <alignment horizontal="center"/>
    </xf>
    <xf borderId="19" fillId="11" fontId="1" numFmtId="0" xfId="0" applyAlignment="1" applyBorder="1" applyFont="1">
      <alignment horizontal="center"/>
    </xf>
    <xf borderId="12" fillId="19" fontId="2" numFmtId="0" xfId="0" applyAlignment="1" applyBorder="1" applyFill="1" applyFont="1">
      <alignment horizontal="center" readingOrder="0"/>
    </xf>
    <xf borderId="12" fillId="20" fontId="2" numFmtId="0" xfId="0" applyAlignment="1" applyBorder="1" applyFill="1" applyFont="1">
      <alignment horizontal="center" readingOrder="0"/>
    </xf>
    <xf borderId="21" fillId="19" fontId="2" numFmtId="0" xfId="0" applyAlignment="1" applyBorder="1" applyFont="1">
      <alignment horizontal="center" readingOrder="0"/>
    </xf>
    <xf borderId="21" fillId="20" fontId="2" numFmtId="0" xfId="0" applyAlignment="1" applyBorder="1" applyFont="1">
      <alignment horizontal="center" readingOrder="0"/>
    </xf>
    <xf borderId="22" fillId="21" fontId="1" numFmtId="0" xfId="0" applyAlignment="1" applyBorder="1" applyFill="1" applyFont="1">
      <alignment horizontal="center" readingOrder="0"/>
    </xf>
    <xf borderId="22" fillId="21" fontId="1" numFmtId="165" xfId="0" applyAlignment="1" applyBorder="1" applyFont="1" applyNumberFormat="1">
      <alignment horizontal="center" readingOrder="0"/>
    </xf>
    <xf borderId="22" fillId="5" fontId="1" numFmtId="0" xfId="0" applyAlignment="1" applyBorder="1" applyFont="1">
      <alignment horizontal="center" readingOrder="0"/>
    </xf>
    <xf borderId="22" fillId="5" fontId="1" numFmtId="165" xfId="0" applyAlignment="1" applyBorder="1" applyFont="1" applyNumberFormat="1">
      <alignment horizontal="center" readingOrder="0"/>
    </xf>
    <xf borderId="22" fillId="21" fontId="1" numFmtId="164" xfId="0" applyAlignment="1" applyBorder="1" applyFont="1" applyNumberFormat="1">
      <alignment horizontal="center"/>
    </xf>
    <xf borderId="22" fillId="21" fontId="1" numFmtId="0" xfId="0" applyAlignment="1" applyBorder="1" applyFont="1">
      <alignment horizontal="center"/>
    </xf>
    <xf borderId="0" fillId="21" fontId="1" numFmtId="0" xfId="0" applyAlignment="1" applyFont="1">
      <alignment horizontal="center"/>
    </xf>
    <xf borderId="0" fillId="21" fontId="1" numFmtId="164" xfId="0" applyAlignment="1" applyFont="1" applyNumberFormat="1">
      <alignment horizontal="center"/>
    </xf>
    <xf borderId="0" fillId="5" fontId="1" numFmtId="165" xfId="0" applyAlignment="1" applyFont="1" applyNumberFormat="1">
      <alignment horizontal="center" readingOrder="0"/>
    </xf>
    <xf borderId="12" fillId="22" fontId="2" numFmtId="0" xfId="0" applyAlignment="1" applyBorder="1" applyFill="1" applyFont="1">
      <alignment horizontal="center" readingOrder="0"/>
    </xf>
    <xf borderId="12" fillId="23" fontId="2" numFmtId="0" xfId="0" applyAlignment="1" applyBorder="1" applyFill="1" applyFont="1">
      <alignment horizontal="center" readingOrder="0"/>
    </xf>
    <xf borderId="21" fillId="22" fontId="2" numFmtId="0" xfId="0" applyAlignment="1" applyBorder="1" applyFont="1">
      <alignment horizontal="center" readingOrder="0"/>
    </xf>
    <xf borderId="21" fillId="23" fontId="2" numFmtId="0" xfId="0" applyAlignment="1" applyBorder="1" applyFont="1">
      <alignment horizontal="center" readingOrder="0"/>
    </xf>
    <xf borderId="22" fillId="17" fontId="1" numFmtId="0" xfId="0" applyAlignment="1" applyBorder="1" applyFont="1">
      <alignment horizontal="center" readingOrder="0"/>
    </xf>
    <xf borderId="22" fillId="17" fontId="1" numFmtId="165" xfId="0" applyAlignment="1" applyBorder="1" applyFont="1" applyNumberFormat="1">
      <alignment horizontal="center" readingOrder="0"/>
    </xf>
    <xf borderId="22" fillId="24" fontId="1" numFmtId="0" xfId="0" applyAlignment="1" applyBorder="1" applyFill="1" applyFont="1">
      <alignment horizontal="center" readingOrder="0"/>
    </xf>
    <xf borderId="22" fillId="24" fontId="1" numFmtId="165" xfId="0" applyAlignment="1" applyBorder="1" applyFont="1" applyNumberFormat="1">
      <alignment horizontal="center" readingOrder="0"/>
    </xf>
    <xf borderId="22" fillId="17" fontId="1" numFmtId="164" xfId="0" applyAlignment="1" applyBorder="1" applyFont="1" applyNumberFormat="1">
      <alignment horizontal="center"/>
    </xf>
    <xf borderId="22" fillId="24" fontId="1" numFmtId="164" xfId="0" applyAlignment="1" applyBorder="1" applyFont="1" applyNumberFormat="1">
      <alignment horizontal="center" readingOrder="0"/>
    </xf>
    <xf borderId="22" fillId="17" fontId="1" numFmtId="0" xfId="0" applyAlignment="1" applyBorder="1" applyFont="1">
      <alignment horizontal="center"/>
    </xf>
    <xf borderId="0" fillId="17" fontId="1" numFmtId="0" xfId="0" applyAlignment="1" applyFont="1">
      <alignment horizontal="center"/>
    </xf>
    <xf borderId="0" fillId="24" fontId="1" numFmtId="0" xfId="0" applyAlignment="1" applyFont="1">
      <alignment horizontal="center" readingOrder="0"/>
    </xf>
    <xf borderId="0" fillId="24" fontId="1" numFmtId="164" xfId="0" applyAlignment="1" applyFont="1" applyNumberFormat="1">
      <alignment horizontal="center" readingOrder="0"/>
    </xf>
    <xf borderId="12" fillId="25" fontId="2" numFmtId="0" xfId="0" applyAlignment="1" applyBorder="1" applyFill="1" applyFont="1">
      <alignment horizontal="center" readingOrder="0"/>
    </xf>
    <xf borderId="21" fillId="25" fontId="2" numFmtId="0" xfId="0" applyAlignment="1" applyBorder="1" applyFont="1">
      <alignment horizontal="center" readingOrder="0"/>
    </xf>
    <xf borderId="22" fillId="24" fontId="1" numFmtId="166" xfId="0" applyAlignment="1" applyBorder="1" applyFont="1" applyNumberFormat="1">
      <alignment horizontal="center" readingOrder="0"/>
    </xf>
    <xf borderId="22" fillId="24" fontId="1" numFmtId="164" xfId="0" applyAlignment="1" applyBorder="1" applyFont="1" applyNumberFormat="1">
      <alignment horizontal="center"/>
    </xf>
    <xf borderId="22" fillId="24" fontId="1" numFmtId="0" xfId="0" applyAlignment="1" applyBorder="1" applyFont="1">
      <alignment horizontal="center"/>
    </xf>
    <xf borderId="1" fillId="26" fontId="2" numFmtId="0" xfId="0" applyAlignment="1" applyBorder="1" applyFill="1" applyFont="1">
      <alignment horizontal="center" readingOrder="0"/>
    </xf>
    <xf borderId="5" fillId="26" fontId="2" numFmtId="0" xfId="0" applyAlignment="1" applyBorder="1" applyFont="1">
      <alignment horizontal="center" readingOrder="0"/>
    </xf>
    <xf borderId="22" fillId="21" fontId="1" numFmtId="164" xfId="0" applyAlignment="1" applyBorder="1" applyFont="1" applyNumberFormat="1">
      <alignment horizontal="center" readingOrder="0"/>
    </xf>
    <xf borderId="22" fillId="21" fontId="1" numFmtId="166" xfId="0" applyAlignment="1" applyBorder="1" applyFont="1" applyNumberFormat="1">
      <alignment horizontal="center" readingOrder="0"/>
    </xf>
    <xf borderId="8" fillId="12" fontId="1" numFmtId="0" xfId="0" applyAlignment="1" applyBorder="1" applyFont="1">
      <alignment horizontal="center" readingOrder="0"/>
    </xf>
    <xf borderId="8" fillId="12" fontId="1" numFmtId="164" xfId="0" applyAlignment="1" applyBorder="1" applyFont="1" applyNumberFormat="1">
      <alignment horizontal="center" readingOrder="0"/>
    </xf>
    <xf borderId="12" fillId="27" fontId="2" numFmtId="0" xfId="0" applyAlignment="1" applyBorder="1" applyFill="1" applyFont="1">
      <alignment horizontal="center" readingOrder="0"/>
    </xf>
    <xf borderId="21" fillId="27" fontId="2" numFmtId="0" xfId="0" applyAlignment="1" applyBorder="1" applyFont="1">
      <alignment horizontal="center" readingOrder="0"/>
    </xf>
    <xf borderId="22" fillId="17" fontId="1" numFmtId="164" xfId="0" applyAlignment="1" applyBorder="1" applyFont="1" applyNumberFormat="1">
      <alignment horizontal="center" readingOrder="0"/>
    </xf>
    <xf borderId="22" fillId="7" fontId="1" numFmtId="0" xfId="0" applyAlignment="1" applyBorder="1" applyFont="1">
      <alignment horizontal="center" readingOrder="0"/>
    </xf>
    <xf borderId="22" fillId="7" fontId="1" numFmtId="165" xfId="0" applyAlignment="1" applyBorder="1" applyFont="1" applyNumberFormat="1">
      <alignment horizontal="center" readingOrder="0"/>
    </xf>
    <xf borderId="22" fillId="7" fontId="1" numFmtId="164" xfId="0" applyAlignment="1" applyBorder="1" applyFont="1" applyNumberFormat="1">
      <alignment horizontal="center" readingOrder="0"/>
    </xf>
    <xf borderId="22" fillId="17" fontId="1" numFmtId="166" xfId="0" applyAlignment="1" applyBorder="1" applyFont="1" applyNumberFormat="1">
      <alignment horizontal="center" readingOrder="0"/>
    </xf>
    <xf borderId="22" fillId="7" fontId="1" numFmtId="166" xfId="0" applyAlignment="1" applyBorder="1" applyFont="1" applyNumberFormat="1">
      <alignment horizontal="center" readingOrder="0"/>
    </xf>
    <xf borderId="22" fillId="7" fontId="1" numFmtId="164" xfId="0" applyAlignment="1" applyBorder="1" applyFont="1" applyNumberFormat="1">
      <alignment horizontal="center"/>
    </xf>
    <xf borderId="22" fillId="7" fontId="1" numFmtId="0" xfId="0" applyAlignment="1" applyBorder="1" applyFont="1">
      <alignment horizontal="center"/>
    </xf>
    <xf borderId="12" fillId="28" fontId="2" numFmtId="0" xfId="0" applyAlignment="1" applyBorder="1" applyFill="1" applyFont="1">
      <alignment horizontal="center" readingOrder="0"/>
    </xf>
    <xf borderId="21" fillId="28" fontId="2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7" fontId="1" numFmtId="165" xfId="0" applyAlignment="1" applyFont="1" applyNumberFormat="1">
      <alignment horizontal="center" readingOrder="0"/>
    </xf>
    <xf borderId="12" fillId="29" fontId="2" numFmtId="0" xfId="0" applyAlignment="1" applyBorder="1" applyFill="1" applyFont="1">
      <alignment horizontal="center" readingOrder="0"/>
    </xf>
    <xf borderId="12" fillId="30" fontId="2" numFmtId="0" xfId="0" applyAlignment="1" applyBorder="1" applyFill="1" applyFont="1">
      <alignment horizontal="center" readingOrder="0"/>
    </xf>
    <xf borderId="21" fillId="29" fontId="2" numFmtId="0" xfId="0" applyAlignment="1" applyBorder="1" applyFont="1">
      <alignment horizontal="center" readingOrder="0"/>
    </xf>
    <xf borderId="21" fillId="30" fontId="2" numFmtId="0" xfId="0" applyAlignment="1" applyBorder="1" applyFont="1">
      <alignment horizontal="center" readingOrder="0"/>
    </xf>
    <xf borderId="22" fillId="31" fontId="1" numFmtId="0" xfId="0" applyAlignment="1" applyBorder="1" applyFill="1" applyFont="1">
      <alignment horizontal="center" readingOrder="0"/>
    </xf>
    <xf borderId="22" fillId="31" fontId="1" numFmtId="165" xfId="0" applyAlignment="1" applyBorder="1" applyFont="1" applyNumberFormat="1">
      <alignment horizontal="center" readingOrder="0"/>
    </xf>
    <xf borderId="22" fillId="31" fontId="1" numFmtId="164" xfId="0" applyAlignment="1" applyBorder="1" applyFont="1" applyNumberFormat="1">
      <alignment horizontal="center" readingOrder="0"/>
    </xf>
    <xf borderId="22" fillId="31" fontId="1" numFmtId="166" xfId="0" applyAlignment="1" applyBorder="1" applyFont="1" applyNumberFormat="1">
      <alignment horizontal="center" readingOrder="0"/>
    </xf>
    <xf borderId="22" fillId="31" fontId="1" numFmtId="164" xfId="0" applyAlignment="1" applyBorder="1" applyFont="1" applyNumberFormat="1">
      <alignment horizontal="center"/>
    </xf>
    <xf borderId="22" fillId="31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4" width="10.38"/>
  </cols>
  <sheetData>
    <row r="1">
      <c r="C1" s="1"/>
      <c r="D1" s="2"/>
      <c r="E1" s="2"/>
      <c r="F1" s="2"/>
    </row>
    <row r="2">
      <c r="A2" s="3" t="s">
        <v>0</v>
      </c>
      <c r="B2" s="4"/>
      <c r="C2" s="4"/>
      <c r="D2" s="4"/>
      <c r="E2" s="5"/>
      <c r="F2" s="6"/>
      <c r="H2" s="7" t="s">
        <v>1</v>
      </c>
      <c r="I2" s="4"/>
      <c r="J2" s="4"/>
      <c r="K2" s="4"/>
      <c r="L2" s="5"/>
      <c r="M2" s="8"/>
      <c r="O2" s="9" t="s">
        <v>2</v>
      </c>
      <c r="P2" s="4"/>
      <c r="Q2" s="4"/>
      <c r="R2" s="4"/>
      <c r="S2" s="5"/>
    </row>
    <row r="3">
      <c r="A3" s="10" t="s">
        <v>3</v>
      </c>
      <c r="B3" s="10" t="s">
        <v>4</v>
      </c>
      <c r="C3" s="10" t="s">
        <v>5</v>
      </c>
      <c r="D3" s="10" t="s">
        <v>6</v>
      </c>
      <c r="E3" s="10"/>
      <c r="F3" s="6"/>
      <c r="H3" s="11" t="s">
        <v>7</v>
      </c>
      <c r="I3" s="11" t="s">
        <v>4</v>
      </c>
      <c r="J3" s="11" t="s">
        <v>5</v>
      </c>
      <c r="K3" s="11" t="s">
        <v>6</v>
      </c>
      <c r="L3" s="11"/>
      <c r="M3" s="8"/>
      <c r="O3" s="12" t="s">
        <v>3</v>
      </c>
      <c r="P3" s="12" t="s">
        <v>4</v>
      </c>
      <c r="Q3" s="12" t="s">
        <v>5</v>
      </c>
      <c r="R3" s="12" t="s">
        <v>6</v>
      </c>
      <c r="S3" s="12"/>
    </row>
    <row r="4">
      <c r="A4" s="13">
        <v>1000.0</v>
      </c>
      <c r="B4" s="14">
        <v>45902.0</v>
      </c>
      <c r="C4" s="15">
        <v>45968.0</v>
      </c>
      <c r="D4" s="13">
        <f t="shared" ref="D4:D5" si="1">C4-B4</f>
        <v>66</v>
      </c>
      <c r="E4" s="13">
        <f t="shared" ref="E4:E5" si="2">A4/D4</f>
        <v>15.15151515</v>
      </c>
      <c r="F4" s="16"/>
      <c r="H4" s="17">
        <v>7800.0</v>
      </c>
      <c r="I4" s="18">
        <v>45908.0</v>
      </c>
      <c r="J4" s="18">
        <v>45922.0</v>
      </c>
      <c r="K4" s="17">
        <f t="shared" ref="K4:K8" si="3">J4-I4</f>
        <v>14</v>
      </c>
      <c r="L4" s="17">
        <f t="shared" ref="L4:L8" si="4">H4/K4</f>
        <v>557.1428571</v>
      </c>
      <c r="M4" s="19"/>
      <c r="O4" s="20">
        <v>547.0</v>
      </c>
      <c r="P4" s="21">
        <v>45909.0</v>
      </c>
      <c r="Q4" s="21">
        <v>45991.0</v>
      </c>
      <c r="R4" s="20">
        <f>Q4-P4</f>
        <v>82</v>
      </c>
      <c r="S4" s="20">
        <f>O4/R4</f>
        <v>6.670731707</v>
      </c>
    </row>
    <row r="5">
      <c r="A5" s="13">
        <v>1000.0</v>
      </c>
      <c r="B5" s="15">
        <v>45968.0</v>
      </c>
      <c r="C5" s="15">
        <v>46003.0</v>
      </c>
      <c r="D5" s="13">
        <f t="shared" si="1"/>
        <v>35</v>
      </c>
      <c r="E5" s="13">
        <f t="shared" si="2"/>
        <v>28.57142857</v>
      </c>
      <c r="F5" s="22"/>
      <c r="H5" s="23">
        <v>7800.0</v>
      </c>
      <c r="I5" s="18">
        <v>45922.0</v>
      </c>
      <c r="J5" s="24">
        <v>45934.0</v>
      </c>
      <c r="K5" s="17">
        <f t="shared" si="3"/>
        <v>12</v>
      </c>
      <c r="L5" s="17">
        <f t="shared" si="4"/>
        <v>650</v>
      </c>
      <c r="M5" s="19"/>
      <c r="O5" s="25">
        <v>1000.0</v>
      </c>
      <c r="P5" s="21">
        <v>45976.0</v>
      </c>
      <c r="Q5" s="26"/>
      <c r="R5" s="26"/>
      <c r="S5" s="26"/>
    </row>
    <row r="6">
      <c r="A6" s="13">
        <v>1000.0</v>
      </c>
      <c r="B6" s="14">
        <v>46059.0</v>
      </c>
      <c r="C6" s="27"/>
      <c r="D6" s="27"/>
      <c r="E6" s="27"/>
      <c r="F6" s="22"/>
      <c r="H6" s="23">
        <v>7800.0</v>
      </c>
      <c r="I6" s="24">
        <v>45934.0</v>
      </c>
      <c r="J6" s="24">
        <v>45949.0</v>
      </c>
      <c r="K6" s="17">
        <f t="shared" si="3"/>
        <v>15</v>
      </c>
      <c r="L6" s="17">
        <f t="shared" si="4"/>
        <v>520</v>
      </c>
      <c r="M6" s="19"/>
      <c r="O6" s="28"/>
      <c r="P6" s="28"/>
      <c r="Q6" s="26"/>
      <c r="R6" s="26"/>
      <c r="S6" s="26"/>
    </row>
    <row r="7">
      <c r="A7" s="29"/>
      <c r="B7" s="29"/>
      <c r="C7" s="22"/>
      <c r="D7" s="22"/>
      <c r="E7" s="22"/>
      <c r="F7" s="22"/>
      <c r="H7" s="19">
        <v>7800.0</v>
      </c>
      <c r="I7" s="24">
        <v>45950.0</v>
      </c>
      <c r="J7" s="24">
        <v>45965.0</v>
      </c>
      <c r="K7" s="17">
        <f t="shared" si="3"/>
        <v>15</v>
      </c>
      <c r="L7" s="17">
        <f t="shared" si="4"/>
        <v>520</v>
      </c>
      <c r="M7" s="19"/>
      <c r="O7" s="30"/>
      <c r="P7" s="30"/>
      <c r="Q7" s="31"/>
      <c r="R7" s="31"/>
      <c r="S7" s="31"/>
    </row>
    <row r="8">
      <c r="A8" s="29"/>
      <c r="B8" s="29"/>
      <c r="C8" s="22"/>
      <c r="D8" s="22"/>
      <c r="E8" s="22"/>
      <c r="F8" s="22"/>
      <c r="H8" s="19">
        <v>7800.0</v>
      </c>
      <c r="I8" s="24">
        <v>45965.0</v>
      </c>
      <c r="J8" s="32">
        <v>45995.0</v>
      </c>
      <c r="K8" s="17">
        <f t="shared" si="3"/>
        <v>30</v>
      </c>
      <c r="L8" s="17">
        <f t="shared" si="4"/>
        <v>260</v>
      </c>
      <c r="M8" s="19"/>
      <c r="O8" s="30"/>
      <c r="P8" s="30"/>
      <c r="Q8" s="31"/>
      <c r="R8" s="31"/>
      <c r="S8" s="31"/>
    </row>
    <row r="9">
      <c r="A9" s="29"/>
      <c r="B9" s="29"/>
      <c r="C9" s="22"/>
      <c r="D9" s="22"/>
      <c r="E9" s="22"/>
      <c r="F9" s="22"/>
      <c r="H9" s="19">
        <v>6000.0</v>
      </c>
      <c r="I9" s="32">
        <v>46033.0</v>
      </c>
      <c r="J9" s="32"/>
      <c r="K9" s="19"/>
      <c r="L9" s="19"/>
      <c r="M9" s="19"/>
      <c r="O9" s="30"/>
      <c r="P9" s="30"/>
      <c r="Q9" s="31"/>
      <c r="R9" s="31"/>
      <c r="S9" s="31"/>
    </row>
    <row r="10">
      <c r="C10" s="2"/>
      <c r="D10" s="2"/>
      <c r="E10" s="2"/>
      <c r="F10" s="2"/>
    </row>
    <row r="11">
      <c r="A11" s="33" t="s">
        <v>8</v>
      </c>
      <c r="B11" s="34"/>
      <c r="C11" s="34"/>
      <c r="D11" s="34"/>
      <c r="E11" s="35"/>
      <c r="F11" s="36"/>
      <c r="H11" s="37" t="s">
        <v>9</v>
      </c>
      <c r="I11" s="38"/>
      <c r="J11" s="38"/>
      <c r="K11" s="38"/>
      <c r="L11" s="39"/>
      <c r="M11" s="40"/>
      <c r="O11" s="41" t="s">
        <v>10</v>
      </c>
      <c r="P11" s="4"/>
      <c r="Q11" s="4"/>
      <c r="R11" s="4"/>
      <c r="S11" s="5"/>
    </row>
    <row r="12">
      <c r="A12" s="42" t="s">
        <v>3</v>
      </c>
      <c r="B12" s="42" t="s">
        <v>4</v>
      </c>
      <c r="C12" s="42" t="s">
        <v>5</v>
      </c>
      <c r="D12" s="42" t="s">
        <v>6</v>
      </c>
      <c r="E12" s="42" t="s">
        <v>11</v>
      </c>
      <c r="F12" s="36"/>
      <c r="H12" s="43" t="s">
        <v>12</v>
      </c>
      <c r="I12" s="43" t="s">
        <v>4</v>
      </c>
      <c r="J12" s="43" t="s">
        <v>5</v>
      </c>
      <c r="K12" s="43" t="s">
        <v>6</v>
      </c>
      <c r="L12" s="43" t="s">
        <v>13</v>
      </c>
      <c r="M12" s="40"/>
      <c r="O12" s="44" t="s">
        <v>3</v>
      </c>
      <c r="P12" s="44" t="s">
        <v>4</v>
      </c>
      <c r="Q12" s="44" t="s">
        <v>5</v>
      </c>
      <c r="R12" s="44" t="s">
        <v>6</v>
      </c>
      <c r="S12" s="44" t="s">
        <v>14</v>
      </c>
    </row>
    <row r="13">
      <c r="A13" s="45">
        <v>250.0</v>
      </c>
      <c r="B13" s="46">
        <v>45894.0</v>
      </c>
      <c r="C13" s="47">
        <v>45902.0</v>
      </c>
      <c r="D13" s="45">
        <f t="shared" ref="D13:D21" si="5">C13-B13</f>
        <v>8</v>
      </c>
      <c r="E13" s="45">
        <f t="shared" ref="E13:E21" si="6">A13/D13</f>
        <v>31.25</v>
      </c>
      <c r="F13" s="48">
        <f>AVERAGE(E13:E18)</f>
        <v>34.0909845</v>
      </c>
      <c r="H13" s="49">
        <v>30.0</v>
      </c>
      <c r="I13" s="50">
        <v>45901.0</v>
      </c>
      <c r="J13" s="50">
        <v>45908.0</v>
      </c>
      <c r="K13" s="49">
        <f t="shared" ref="K13:K27" si="7">J13-I13</f>
        <v>7</v>
      </c>
      <c r="L13" s="49">
        <f t="shared" ref="L13:L27" si="8">H13/K13</f>
        <v>4.285714286</v>
      </c>
      <c r="M13" s="51">
        <f>AVERAGE(L13:L27)</f>
        <v>4.061111111</v>
      </c>
      <c r="O13" s="52">
        <v>1000.0</v>
      </c>
      <c r="P13" s="53">
        <v>45884.0</v>
      </c>
      <c r="Q13" s="54">
        <v>45923.0</v>
      </c>
      <c r="R13" s="52">
        <f t="shared" ref="R13:R14" si="9">Q13-P13</f>
        <v>39</v>
      </c>
      <c r="S13" s="52">
        <f t="shared" ref="S13:S14" si="10">O13/R13</f>
        <v>25.64102564</v>
      </c>
    </row>
    <row r="14">
      <c r="A14" s="55">
        <v>500.0</v>
      </c>
      <c r="B14" s="56">
        <v>45903.0</v>
      </c>
      <c r="C14" s="57">
        <v>45915.0</v>
      </c>
      <c r="D14" s="45">
        <f t="shared" si="5"/>
        <v>12</v>
      </c>
      <c r="E14" s="45">
        <f t="shared" si="6"/>
        <v>41.66666667</v>
      </c>
      <c r="H14" s="58">
        <v>30.0</v>
      </c>
      <c r="I14" s="50">
        <v>45909.0</v>
      </c>
      <c r="J14" s="50">
        <v>45923.0</v>
      </c>
      <c r="K14" s="49">
        <f t="shared" si="7"/>
        <v>14</v>
      </c>
      <c r="L14" s="49">
        <f t="shared" si="8"/>
        <v>2.142857143</v>
      </c>
      <c r="O14" s="52">
        <v>1000.0</v>
      </c>
      <c r="P14" s="53">
        <v>45943.0</v>
      </c>
      <c r="Q14" s="54">
        <v>45986.0</v>
      </c>
      <c r="R14" s="52">
        <f t="shared" si="9"/>
        <v>43</v>
      </c>
      <c r="S14" s="52">
        <f t="shared" si="10"/>
        <v>23.25581395</v>
      </c>
    </row>
    <row r="15">
      <c r="A15" s="55">
        <v>250.0</v>
      </c>
      <c r="B15" s="57">
        <v>45915.0</v>
      </c>
      <c r="C15" s="57">
        <v>45922.0</v>
      </c>
      <c r="D15" s="45">
        <f t="shared" si="5"/>
        <v>7</v>
      </c>
      <c r="E15" s="45">
        <f t="shared" si="6"/>
        <v>35.71428571</v>
      </c>
      <c r="H15" s="58">
        <v>12.0</v>
      </c>
      <c r="I15" s="50">
        <v>45924.0</v>
      </c>
      <c r="J15" s="50">
        <v>45926.0</v>
      </c>
      <c r="K15" s="49">
        <f t="shared" si="7"/>
        <v>2</v>
      </c>
      <c r="L15" s="49">
        <f t="shared" si="8"/>
        <v>6</v>
      </c>
      <c r="O15" s="59"/>
      <c r="P15" s="59"/>
      <c r="Q15" s="60"/>
      <c r="R15" s="60"/>
      <c r="S15" s="60"/>
    </row>
    <row r="16">
      <c r="A16" s="48">
        <v>500.0</v>
      </c>
      <c r="B16" s="57">
        <v>45922.0</v>
      </c>
      <c r="C16" s="57">
        <v>45935.0</v>
      </c>
      <c r="D16" s="45">
        <f t="shared" si="5"/>
        <v>13</v>
      </c>
      <c r="E16" s="45">
        <f t="shared" si="6"/>
        <v>38.46153846</v>
      </c>
      <c r="H16" s="51">
        <v>30.0</v>
      </c>
      <c r="I16" s="50">
        <v>45926.0</v>
      </c>
      <c r="J16" s="50">
        <v>45933.0</v>
      </c>
      <c r="K16" s="49">
        <f t="shared" si="7"/>
        <v>7</v>
      </c>
      <c r="L16" s="49">
        <f t="shared" si="8"/>
        <v>4.285714286</v>
      </c>
      <c r="O16" s="61"/>
      <c r="P16" s="61"/>
      <c r="Q16" s="62"/>
      <c r="R16" s="62"/>
      <c r="S16" s="62"/>
    </row>
    <row r="17">
      <c r="A17" s="48">
        <v>500.0</v>
      </c>
      <c r="B17" s="57">
        <v>45936.0</v>
      </c>
      <c r="C17" s="57">
        <v>45950.0</v>
      </c>
      <c r="D17" s="45">
        <f t="shared" si="5"/>
        <v>14</v>
      </c>
      <c r="E17" s="45">
        <f t="shared" si="6"/>
        <v>35.71428571</v>
      </c>
      <c r="H17" s="51">
        <v>30.0</v>
      </c>
      <c r="I17" s="50">
        <v>45933.0</v>
      </c>
      <c r="J17" s="50">
        <v>45941.0</v>
      </c>
      <c r="K17" s="49">
        <f t="shared" si="7"/>
        <v>8</v>
      </c>
      <c r="L17" s="49">
        <f t="shared" si="8"/>
        <v>3.75</v>
      </c>
    </row>
    <row r="18">
      <c r="A18" s="48">
        <v>500.0</v>
      </c>
      <c r="B18" s="57">
        <v>45951.0</v>
      </c>
      <c r="C18" s="57">
        <v>45974.0</v>
      </c>
      <c r="D18" s="45">
        <f t="shared" si="5"/>
        <v>23</v>
      </c>
      <c r="E18" s="45">
        <f t="shared" si="6"/>
        <v>21.73913043</v>
      </c>
      <c r="H18" s="51">
        <v>15.0</v>
      </c>
      <c r="I18" s="50">
        <v>45942.0</v>
      </c>
      <c r="J18" s="50">
        <v>45946.0</v>
      </c>
      <c r="K18" s="49">
        <f t="shared" si="7"/>
        <v>4</v>
      </c>
      <c r="L18" s="49">
        <f t="shared" si="8"/>
        <v>3.75</v>
      </c>
      <c r="O18" s="63" t="s">
        <v>15</v>
      </c>
      <c r="P18" s="34"/>
      <c r="Q18" s="34"/>
      <c r="R18" s="34"/>
      <c r="S18" s="35"/>
    </row>
    <row r="19">
      <c r="A19" s="48">
        <v>220.0</v>
      </c>
      <c r="B19" s="57">
        <v>45974.0</v>
      </c>
      <c r="C19" s="57">
        <v>45984.0</v>
      </c>
      <c r="D19" s="45">
        <f t="shared" si="5"/>
        <v>10</v>
      </c>
      <c r="E19" s="45">
        <f t="shared" si="6"/>
        <v>22</v>
      </c>
      <c r="F19" s="48"/>
      <c r="H19" s="51">
        <v>30.0</v>
      </c>
      <c r="I19" s="50">
        <v>45947.0</v>
      </c>
      <c r="J19" s="50">
        <v>45956.0</v>
      </c>
      <c r="K19" s="49">
        <f t="shared" si="7"/>
        <v>9</v>
      </c>
      <c r="L19" s="49">
        <f t="shared" si="8"/>
        <v>3.333333333</v>
      </c>
      <c r="O19" s="64" t="s">
        <v>16</v>
      </c>
      <c r="P19" s="64" t="s">
        <v>4</v>
      </c>
      <c r="Q19" s="64" t="s">
        <v>5</v>
      </c>
      <c r="R19" s="64" t="s">
        <v>6</v>
      </c>
      <c r="S19" s="64" t="s">
        <v>17</v>
      </c>
    </row>
    <row r="20">
      <c r="A20" s="48">
        <v>250.0</v>
      </c>
      <c r="B20" s="57">
        <v>45985.0</v>
      </c>
      <c r="C20" s="65">
        <v>45995.0</v>
      </c>
      <c r="D20" s="45">
        <f t="shared" si="5"/>
        <v>10</v>
      </c>
      <c r="E20" s="45">
        <f t="shared" si="6"/>
        <v>25</v>
      </c>
      <c r="F20" s="48"/>
      <c r="H20" s="51">
        <v>6.0</v>
      </c>
      <c r="I20" s="50">
        <v>45956.0</v>
      </c>
      <c r="J20" s="50">
        <v>45958.0</v>
      </c>
      <c r="K20" s="49">
        <f t="shared" si="7"/>
        <v>2</v>
      </c>
      <c r="L20" s="49">
        <f t="shared" si="8"/>
        <v>3</v>
      </c>
      <c r="O20" s="66">
        <v>18.0</v>
      </c>
      <c r="P20" s="67">
        <v>45909.0</v>
      </c>
      <c r="Q20" s="67">
        <v>45926.0</v>
      </c>
      <c r="R20" s="66">
        <f t="shared" ref="R20:R22" si="11">Q20-P20</f>
        <v>17</v>
      </c>
      <c r="S20" s="66">
        <f t="shared" ref="S20:S22" si="12">O20/R20</f>
        <v>1.058823529</v>
      </c>
    </row>
    <row r="21">
      <c r="A21" s="48">
        <v>220.0</v>
      </c>
      <c r="B21" s="65">
        <v>45995.0</v>
      </c>
      <c r="C21" s="65">
        <v>46004.0</v>
      </c>
      <c r="D21" s="45">
        <f t="shared" si="5"/>
        <v>9</v>
      </c>
      <c r="E21" s="45">
        <f t="shared" si="6"/>
        <v>24.44444444</v>
      </c>
      <c r="F21" s="48"/>
      <c r="H21" s="51">
        <v>30.0</v>
      </c>
      <c r="I21" s="50">
        <v>45958.0</v>
      </c>
      <c r="J21" s="50">
        <v>45964.0</v>
      </c>
      <c r="K21" s="49">
        <f t="shared" si="7"/>
        <v>6</v>
      </c>
      <c r="L21" s="49">
        <f t="shared" si="8"/>
        <v>5</v>
      </c>
      <c r="O21" s="66">
        <v>18.0</v>
      </c>
      <c r="P21" s="67">
        <v>45928.0</v>
      </c>
      <c r="Q21" s="68">
        <v>45960.0</v>
      </c>
      <c r="R21" s="66">
        <f t="shared" si="11"/>
        <v>32</v>
      </c>
      <c r="S21" s="66">
        <f t="shared" si="12"/>
        <v>0.5625</v>
      </c>
    </row>
    <row r="22">
      <c r="A22" s="48">
        <v>500.0</v>
      </c>
      <c r="B22" s="65">
        <v>46058.0</v>
      </c>
      <c r="C22" s="65"/>
      <c r="D22" s="48"/>
      <c r="E22" s="48"/>
      <c r="F22" s="48"/>
      <c r="H22" s="51">
        <v>30.0</v>
      </c>
      <c r="I22" s="50">
        <v>45964.0</v>
      </c>
      <c r="J22" s="50">
        <v>45973.0</v>
      </c>
      <c r="K22" s="49">
        <f t="shared" si="7"/>
        <v>9</v>
      </c>
      <c r="L22" s="49">
        <f t="shared" si="8"/>
        <v>3.333333333</v>
      </c>
      <c r="O22" s="66">
        <v>18.0</v>
      </c>
      <c r="P22" s="67">
        <v>45960.0</v>
      </c>
      <c r="Q22" s="67">
        <v>45983.0</v>
      </c>
      <c r="R22" s="66">
        <f t="shared" si="11"/>
        <v>23</v>
      </c>
      <c r="S22" s="66">
        <f t="shared" si="12"/>
        <v>0.7826086957</v>
      </c>
    </row>
    <row r="23">
      <c r="A23" s="48"/>
      <c r="B23" s="65"/>
      <c r="C23" s="65"/>
      <c r="D23" s="48"/>
      <c r="E23" s="48"/>
      <c r="F23" s="48"/>
      <c r="H23" s="51">
        <v>30.0</v>
      </c>
      <c r="I23" s="50">
        <v>45973.0</v>
      </c>
      <c r="J23" s="69">
        <v>45980.0</v>
      </c>
      <c r="K23" s="49">
        <f t="shared" si="7"/>
        <v>7</v>
      </c>
      <c r="L23" s="49">
        <f t="shared" si="8"/>
        <v>4.285714286</v>
      </c>
      <c r="O23" s="70">
        <v>280.0</v>
      </c>
      <c r="P23" s="71">
        <v>46067.0</v>
      </c>
      <c r="Q23" s="22"/>
      <c r="R23" s="22"/>
      <c r="S23" s="22"/>
    </row>
    <row r="24">
      <c r="A24" s="48"/>
      <c r="B24" s="65"/>
      <c r="C24" s="65"/>
      <c r="D24" s="48"/>
      <c r="E24" s="48"/>
      <c r="F24" s="48"/>
      <c r="H24" s="51">
        <v>30.0</v>
      </c>
      <c r="I24" s="50">
        <v>45981.0</v>
      </c>
      <c r="J24" s="69">
        <v>45989.0</v>
      </c>
      <c r="K24" s="49">
        <f t="shared" si="7"/>
        <v>8</v>
      </c>
      <c r="L24" s="49">
        <f t="shared" si="8"/>
        <v>3.75</v>
      </c>
      <c r="O24" s="29"/>
      <c r="P24" s="29"/>
      <c r="Q24" s="22"/>
      <c r="R24" s="22"/>
      <c r="S24" s="22"/>
    </row>
    <row r="25">
      <c r="A25" s="48"/>
      <c r="B25" s="65"/>
      <c r="C25" s="65"/>
      <c r="D25" s="48"/>
      <c r="E25" s="48"/>
      <c r="F25" s="48"/>
      <c r="H25" s="51">
        <v>6.0</v>
      </c>
      <c r="I25" s="69">
        <v>45989.0</v>
      </c>
      <c r="J25" s="69">
        <v>45990.0</v>
      </c>
      <c r="K25" s="49">
        <f t="shared" si="7"/>
        <v>1</v>
      </c>
      <c r="L25" s="49">
        <f t="shared" si="8"/>
        <v>6</v>
      </c>
    </row>
    <row r="26">
      <c r="A26" s="48"/>
      <c r="B26" s="65"/>
      <c r="C26" s="65"/>
      <c r="D26" s="48"/>
      <c r="E26" s="48"/>
      <c r="F26" s="48"/>
      <c r="H26" s="51">
        <v>30.0</v>
      </c>
      <c r="I26" s="69">
        <v>45992.0</v>
      </c>
      <c r="J26" s="69">
        <v>45998.0</v>
      </c>
      <c r="K26" s="49">
        <f t="shared" si="7"/>
        <v>6</v>
      </c>
      <c r="L26" s="49">
        <f t="shared" si="8"/>
        <v>5</v>
      </c>
    </row>
    <row r="27">
      <c r="A27" s="48"/>
      <c r="B27" s="65"/>
      <c r="C27" s="65"/>
      <c r="D27" s="48"/>
      <c r="E27" s="48"/>
      <c r="F27" s="48"/>
      <c r="H27" s="51">
        <v>30.0</v>
      </c>
      <c r="I27" s="69">
        <v>46005.0</v>
      </c>
      <c r="J27" s="69">
        <v>46015.0</v>
      </c>
      <c r="K27" s="49">
        <f t="shared" si="7"/>
        <v>10</v>
      </c>
      <c r="L27" s="49">
        <f t="shared" si="8"/>
        <v>3</v>
      </c>
      <c r="M27" s="51"/>
    </row>
    <row r="28">
      <c r="A28" s="48"/>
      <c r="B28" s="65"/>
      <c r="C28" s="65"/>
      <c r="D28" s="48"/>
      <c r="E28" s="48"/>
      <c r="F28" s="48"/>
      <c r="H28" s="51">
        <v>30.0</v>
      </c>
      <c r="I28" s="69">
        <v>46015.0</v>
      </c>
      <c r="J28" s="69"/>
      <c r="K28" s="51"/>
      <c r="L28" s="51"/>
      <c r="M28" s="51"/>
    </row>
    <row r="29">
      <c r="C29" s="2"/>
      <c r="D29" s="2"/>
      <c r="E29" s="2"/>
      <c r="F29" s="2"/>
    </row>
    <row r="30">
      <c r="A30" s="72" t="s">
        <v>18</v>
      </c>
      <c r="B30" s="38"/>
      <c r="C30" s="38"/>
      <c r="D30" s="38"/>
      <c r="E30" s="39"/>
      <c r="F30" s="73"/>
      <c r="H30" s="74" t="s">
        <v>19</v>
      </c>
      <c r="I30" s="38"/>
      <c r="J30" s="38"/>
      <c r="K30" s="38"/>
      <c r="L30" s="39"/>
      <c r="M30" s="75"/>
    </row>
    <row r="31">
      <c r="A31" s="76" t="s">
        <v>3</v>
      </c>
      <c r="B31" s="76" t="s">
        <v>4</v>
      </c>
      <c r="C31" s="76" t="s">
        <v>5</v>
      </c>
      <c r="D31" s="76" t="s">
        <v>6</v>
      </c>
      <c r="E31" s="76" t="s">
        <v>14</v>
      </c>
      <c r="F31" s="73"/>
      <c r="H31" s="77" t="s">
        <v>20</v>
      </c>
      <c r="I31" s="77" t="s">
        <v>4</v>
      </c>
      <c r="J31" s="77" t="s">
        <v>5</v>
      </c>
      <c r="K31" s="77" t="s">
        <v>6</v>
      </c>
      <c r="L31" s="77" t="s">
        <v>21</v>
      </c>
      <c r="M31" s="75"/>
    </row>
    <row r="32">
      <c r="A32" s="78">
        <v>400.0</v>
      </c>
      <c r="B32" s="79">
        <v>45860.0</v>
      </c>
      <c r="C32" s="79">
        <v>45920.0</v>
      </c>
      <c r="D32" s="78">
        <f t="shared" ref="D32:D35" si="13">C32-B32</f>
        <v>60</v>
      </c>
      <c r="E32" s="78">
        <f t="shared" ref="E32:E35" si="14">A32/D32</f>
        <v>6.666666667</v>
      </c>
      <c r="F32" s="19"/>
      <c r="H32" s="80">
        <v>75.0</v>
      </c>
      <c r="I32" s="81">
        <v>45902.0</v>
      </c>
      <c r="J32" s="81">
        <v>45913.0</v>
      </c>
      <c r="K32" s="80">
        <f t="shared" ref="K32:K36" si="15">J32-I32</f>
        <v>11</v>
      </c>
      <c r="L32" s="80">
        <f t="shared" ref="L32:L36" si="16">H32/K32</f>
        <v>6.818181818</v>
      </c>
      <c r="M32" s="51"/>
    </row>
    <row r="33">
      <c r="A33" s="78">
        <v>180.0</v>
      </c>
      <c r="B33" s="79">
        <v>45921.0</v>
      </c>
      <c r="C33" s="79">
        <v>45942.0</v>
      </c>
      <c r="D33" s="78">
        <f t="shared" si="13"/>
        <v>21</v>
      </c>
      <c r="E33" s="78">
        <f t="shared" si="14"/>
        <v>8.571428571</v>
      </c>
      <c r="F33" s="19"/>
      <c r="H33" s="80">
        <v>75.0</v>
      </c>
      <c r="I33" s="81">
        <v>45923.0</v>
      </c>
      <c r="J33" s="81">
        <v>45936.0</v>
      </c>
      <c r="K33" s="80">
        <f t="shared" si="15"/>
        <v>13</v>
      </c>
      <c r="L33" s="80">
        <f t="shared" si="16"/>
        <v>5.769230769</v>
      </c>
      <c r="M33" s="51"/>
    </row>
    <row r="34">
      <c r="A34" s="78">
        <v>250.0</v>
      </c>
      <c r="B34" s="79">
        <v>45945.0</v>
      </c>
      <c r="C34" s="79">
        <v>45971.0</v>
      </c>
      <c r="D34" s="78">
        <f t="shared" si="13"/>
        <v>26</v>
      </c>
      <c r="E34" s="78">
        <f t="shared" si="14"/>
        <v>9.615384615</v>
      </c>
      <c r="F34" s="82"/>
      <c r="H34" s="80">
        <v>75.0</v>
      </c>
      <c r="I34" s="81">
        <v>45936.0</v>
      </c>
      <c r="J34" s="83">
        <v>45958.0</v>
      </c>
      <c r="K34" s="80">
        <f t="shared" si="15"/>
        <v>22</v>
      </c>
      <c r="L34" s="80">
        <f t="shared" si="16"/>
        <v>3.409090909</v>
      </c>
      <c r="M34" s="51"/>
    </row>
    <row r="35">
      <c r="A35" s="19">
        <v>400.0</v>
      </c>
      <c r="B35" s="79">
        <v>45978.0</v>
      </c>
      <c r="C35" s="32">
        <v>46012.0</v>
      </c>
      <c r="D35" s="78">
        <f t="shared" si="13"/>
        <v>34</v>
      </c>
      <c r="E35" s="78">
        <f t="shared" si="14"/>
        <v>11.76470588</v>
      </c>
      <c r="F35" s="82"/>
      <c r="H35" s="51">
        <v>75.0</v>
      </c>
      <c r="I35" s="83">
        <v>45958.0</v>
      </c>
      <c r="J35" s="83">
        <v>45977.0</v>
      </c>
      <c r="K35" s="80">
        <f t="shared" si="15"/>
        <v>19</v>
      </c>
      <c r="L35" s="80">
        <f t="shared" si="16"/>
        <v>3.947368421</v>
      </c>
      <c r="M35" s="51"/>
    </row>
    <row r="36">
      <c r="A36" s="19">
        <v>1100.0</v>
      </c>
      <c r="B36" s="84">
        <v>46012.0</v>
      </c>
      <c r="C36" s="82"/>
      <c r="D36" s="82"/>
      <c r="E36" s="82"/>
      <c r="F36" s="82"/>
      <c r="H36" s="51">
        <v>75.0</v>
      </c>
      <c r="I36" s="83">
        <v>45982.0</v>
      </c>
      <c r="J36" s="85">
        <v>45998.0</v>
      </c>
      <c r="K36" s="80">
        <f t="shared" si="15"/>
        <v>16</v>
      </c>
      <c r="L36" s="80">
        <f t="shared" si="16"/>
        <v>4.6875</v>
      </c>
      <c r="M36" s="51"/>
    </row>
    <row r="37">
      <c r="C37" s="2"/>
      <c r="D37" s="2"/>
      <c r="E37" s="2"/>
      <c r="F37" s="2"/>
    </row>
    <row r="38">
      <c r="A38" s="86" t="s">
        <v>22</v>
      </c>
      <c r="B38" s="38"/>
      <c r="C38" s="38"/>
      <c r="D38" s="38"/>
      <c r="E38" s="39"/>
      <c r="F38" s="87"/>
      <c r="H38" s="88" t="s">
        <v>23</v>
      </c>
      <c r="I38" s="38"/>
      <c r="J38" s="38"/>
      <c r="K38" s="38"/>
      <c r="L38" s="39"/>
      <c r="M38" s="89"/>
    </row>
    <row r="39">
      <c r="A39" s="90" t="s">
        <v>3</v>
      </c>
      <c r="B39" s="90" t="s">
        <v>4</v>
      </c>
      <c r="C39" s="90" t="s">
        <v>5</v>
      </c>
      <c r="D39" s="90" t="s">
        <v>6</v>
      </c>
      <c r="E39" s="90"/>
      <c r="F39" s="87"/>
      <c r="H39" s="91" t="s">
        <v>3</v>
      </c>
      <c r="I39" s="91" t="s">
        <v>4</v>
      </c>
      <c r="J39" s="91" t="s">
        <v>5</v>
      </c>
      <c r="K39" s="91" t="s">
        <v>6</v>
      </c>
      <c r="L39" s="91"/>
      <c r="M39" s="89"/>
    </row>
    <row r="40">
      <c r="A40" s="92">
        <v>3000.0</v>
      </c>
      <c r="B40" s="93">
        <v>45894.0</v>
      </c>
      <c r="C40" s="93">
        <v>45967.0</v>
      </c>
      <c r="D40" s="92">
        <f t="shared" ref="D40:D41" si="17">C40-B40</f>
        <v>73</v>
      </c>
      <c r="E40" s="92">
        <f t="shared" ref="E40:E41" si="18">A40/D40</f>
        <v>41.09589041</v>
      </c>
      <c r="F40" s="94"/>
      <c r="H40" s="95">
        <v>55.0</v>
      </c>
      <c r="I40" s="96">
        <v>45903.0</v>
      </c>
      <c r="J40" s="97"/>
      <c r="K40" s="95">
        <f>J40-I40</f>
        <v>-45903</v>
      </c>
      <c r="L40" s="95"/>
      <c r="M40" s="98"/>
    </row>
    <row r="41">
      <c r="A41" s="92">
        <v>500.0</v>
      </c>
      <c r="B41" s="93">
        <v>45967.0</v>
      </c>
      <c r="C41" s="93">
        <v>45971.0</v>
      </c>
      <c r="D41" s="92">
        <f t="shared" si="17"/>
        <v>4</v>
      </c>
      <c r="E41" s="92">
        <f t="shared" si="18"/>
        <v>125</v>
      </c>
      <c r="F41" s="99"/>
      <c r="H41" s="95"/>
      <c r="I41" s="100"/>
      <c r="J41" s="101"/>
      <c r="K41" s="101"/>
      <c r="L41" s="101"/>
      <c r="M41" s="102"/>
    </row>
    <row r="42">
      <c r="A42" s="103"/>
      <c r="B42" s="93">
        <v>46004.0</v>
      </c>
      <c r="C42" s="104"/>
      <c r="D42" s="104"/>
      <c r="E42" s="104"/>
      <c r="F42" s="99"/>
      <c r="H42" s="105"/>
      <c r="I42" s="105"/>
      <c r="J42" s="101"/>
      <c r="K42" s="101"/>
      <c r="L42" s="101"/>
      <c r="M42" s="102"/>
    </row>
    <row r="43">
      <c r="C43" s="2"/>
      <c r="D43" s="2"/>
      <c r="E43" s="2"/>
      <c r="F43" s="2"/>
    </row>
    <row r="44">
      <c r="A44" s="33" t="s">
        <v>24</v>
      </c>
      <c r="B44" s="34"/>
      <c r="C44" s="34"/>
      <c r="D44" s="34"/>
      <c r="E44" s="35"/>
      <c r="F44" s="36"/>
      <c r="H44" s="88" t="s">
        <v>25</v>
      </c>
      <c r="I44" s="38"/>
      <c r="J44" s="38"/>
      <c r="K44" s="38"/>
      <c r="L44" s="39"/>
      <c r="M44" s="89"/>
    </row>
    <row r="45">
      <c r="A45" s="42" t="s">
        <v>3</v>
      </c>
      <c r="B45" s="42" t="s">
        <v>4</v>
      </c>
      <c r="C45" s="42" t="s">
        <v>5</v>
      </c>
      <c r="D45" s="42" t="s">
        <v>6</v>
      </c>
      <c r="E45" s="42" t="s">
        <v>11</v>
      </c>
      <c r="F45" s="36"/>
      <c r="H45" s="91" t="s">
        <v>3</v>
      </c>
      <c r="I45" s="91" t="s">
        <v>4</v>
      </c>
      <c r="J45" s="91" t="s">
        <v>5</v>
      </c>
      <c r="K45" s="91" t="s">
        <v>6</v>
      </c>
      <c r="L45" s="91"/>
      <c r="M45" s="89"/>
    </row>
    <row r="46">
      <c r="A46" s="45">
        <v>360.0</v>
      </c>
      <c r="B46" s="46">
        <v>45906.0</v>
      </c>
      <c r="C46" s="46">
        <v>45939.0</v>
      </c>
      <c r="D46" s="45">
        <f>C46-B46</f>
        <v>33</v>
      </c>
      <c r="E46" s="45">
        <f>A46/D46</f>
        <v>10.90909091</v>
      </c>
      <c r="F46" s="48"/>
      <c r="H46" s="95">
        <v>600.0</v>
      </c>
      <c r="I46" s="96">
        <v>45914.0</v>
      </c>
      <c r="J46" s="97">
        <v>45981.0</v>
      </c>
      <c r="K46" s="95">
        <f>J46-I46</f>
        <v>67</v>
      </c>
      <c r="L46" s="95"/>
      <c r="M46" s="98"/>
    </row>
    <row r="47">
      <c r="A47" s="55">
        <v>570.0</v>
      </c>
      <c r="B47" s="46">
        <v>45942.0</v>
      </c>
      <c r="C47" s="106"/>
      <c r="D47" s="106"/>
      <c r="E47" s="106"/>
      <c r="F47" s="107"/>
      <c r="H47" s="95">
        <v>600.0</v>
      </c>
      <c r="I47" s="97">
        <v>45981.0</v>
      </c>
      <c r="J47" s="101"/>
      <c r="K47" s="101"/>
      <c r="L47" s="101"/>
      <c r="M47" s="102"/>
    </row>
    <row r="48">
      <c r="A48" s="108"/>
      <c r="B48" s="108"/>
      <c r="C48" s="106"/>
      <c r="D48" s="106"/>
      <c r="E48" s="106"/>
      <c r="F48" s="107"/>
      <c r="H48" s="105"/>
      <c r="I48" s="105"/>
      <c r="J48" s="101"/>
      <c r="K48" s="101"/>
      <c r="L48" s="101"/>
      <c r="M48" s="102"/>
    </row>
  </sheetData>
  <mergeCells count="15">
    <mergeCell ref="O11:S11"/>
    <mergeCell ref="O18:S18"/>
    <mergeCell ref="A30:E30"/>
    <mergeCell ref="H30:L30"/>
    <mergeCell ref="A38:E38"/>
    <mergeCell ref="H38:L38"/>
    <mergeCell ref="A44:E44"/>
    <mergeCell ref="H44:L44"/>
    <mergeCell ref="A2:E2"/>
    <mergeCell ref="H2:L2"/>
    <mergeCell ref="O2:S2"/>
    <mergeCell ref="A11:E11"/>
    <mergeCell ref="H11:L11"/>
    <mergeCell ref="F13:F18"/>
    <mergeCell ref="M13:M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sheetData>
    <row r="2">
      <c r="A2" s="109" t="s">
        <v>26</v>
      </c>
      <c r="B2" s="38"/>
      <c r="C2" s="38"/>
      <c r="D2" s="38"/>
      <c r="E2" s="39"/>
      <c r="G2" s="110" t="s">
        <v>27</v>
      </c>
      <c r="H2" s="38"/>
      <c r="I2" s="38"/>
      <c r="J2" s="38"/>
      <c r="K2" s="39"/>
    </row>
    <row r="3">
      <c r="A3" s="111" t="s">
        <v>7</v>
      </c>
      <c r="B3" s="111" t="s">
        <v>4</v>
      </c>
      <c r="C3" s="111" t="s">
        <v>5</v>
      </c>
      <c r="D3" s="111" t="s">
        <v>6</v>
      </c>
      <c r="E3" s="111"/>
      <c r="G3" s="112" t="s">
        <v>7</v>
      </c>
      <c r="H3" s="112" t="s">
        <v>4</v>
      </c>
      <c r="I3" s="112" t="s">
        <v>5</v>
      </c>
      <c r="J3" s="112" t="s">
        <v>6</v>
      </c>
      <c r="K3" s="112"/>
    </row>
    <row r="4">
      <c r="A4" s="113">
        <v>300.0</v>
      </c>
      <c r="B4" s="114">
        <v>45901.0</v>
      </c>
      <c r="C4" s="114">
        <v>45971.0</v>
      </c>
      <c r="D4" s="113">
        <f>C4-B4</f>
        <v>70</v>
      </c>
      <c r="E4" s="113"/>
      <c r="G4" s="115">
        <v>75.0</v>
      </c>
      <c r="H4" s="116">
        <v>45909.0</v>
      </c>
      <c r="I4" s="116">
        <v>45930.0</v>
      </c>
      <c r="J4" s="115">
        <f t="shared" ref="J4:J7" si="1">I4-H4</f>
        <v>21</v>
      </c>
      <c r="K4" s="115">
        <f t="shared" ref="K4:K7" si="2">G4/J4</f>
        <v>3.571428571</v>
      </c>
    </row>
    <row r="5">
      <c r="A5" s="113">
        <v>300.0</v>
      </c>
      <c r="B5" s="114">
        <v>45971.0</v>
      </c>
      <c r="C5" s="117"/>
      <c r="D5" s="117"/>
      <c r="E5" s="117"/>
      <c r="G5" s="115">
        <v>75.0</v>
      </c>
      <c r="H5" s="116">
        <v>45930.0</v>
      </c>
      <c r="I5" s="116">
        <v>45951.0</v>
      </c>
      <c r="J5" s="115">
        <f t="shared" si="1"/>
        <v>21</v>
      </c>
      <c r="K5" s="115">
        <f t="shared" si="2"/>
        <v>3.571428571</v>
      </c>
    </row>
    <row r="6">
      <c r="A6" s="118"/>
      <c r="B6" s="118"/>
      <c r="C6" s="117"/>
      <c r="D6" s="117"/>
      <c r="E6" s="117"/>
      <c r="G6" s="115">
        <v>75.0</v>
      </c>
      <c r="H6" s="116">
        <v>45952.0</v>
      </c>
      <c r="I6" s="116">
        <v>45976.0</v>
      </c>
      <c r="J6" s="115">
        <f t="shared" si="1"/>
        <v>24</v>
      </c>
      <c r="K6" s="115">
        <f t="shared" si="2"/>
        <v>3.125</v>
      </c>
    </row>
    <row r="7">
      <c r="A7" s="119"/>
      <c r="B7" s="119"/>
      <c r="C7" s="120"/>
      <c r="D7" s="120"/>
      <c r="E7" s="120"/>
      <c r="G7" s="16">
        <v>75.0</v>
      </c>
      <c r="H7" s="116">
        <v>45977.0</v>
      </c>
      <c r="I7" s="121">
        <v>45999.0</v>
      </c>
      <c r="J7" s="115">
        <f t="shared" si="1"/>
        <v>22</v>
      </c>
      <c r="K7" s="115">
        <f t="shared" si="2"/>
        <v>3.409090909</v>
      </c>
    </row>
    <row r="8">
      <c r="A8" s="119"/>
      <c r="B8" s="119"/>
      <c r="C8" s="120"/>
      <c r="D8" s="120"/>
      <c r="E8" s="120"/>
      <c r="G8" s="16">
        <v>75.0</v>
      </c>
      <c r="H8" s="121">
        <v>45999.0</v>
      </c>
      <c r="I8" s="121"/>
      <c r="J8" s="16"/>
      <c r="K8" s="16"/>
    </row>
    <row r="10">
      <c r="A10" s="122" t="s">
        <v>28</v>
      </c>
      <c r="B10" s="38"/>
      <c r="C10" s="38"/>
      <c r="D10" s="38"/>
      <c r="E10" s="39"/>
      <c r="G10" s="123" t="s">
        <v>29</v>
      </c>
      <c r="H10" s="38"/>
      <c r="I10" s="38"/>
      <c r="J10" s="38"/>
      <c r="K10" s="39"/>
    </row>
    <row r="11">
      <c r="A11" s="124" t="s">
        <v>7</v>
      </c>
      <c r="B11" s="124" t="s">
        <v>4</v>
      </c>
      <c r="C11" s="124" t="s">
        <v>5</v>
      </c>
      <c r="D11" s="124" t="s">
        <v>6</v>
      </c>
      <c r="E11" s="124"/>
      <c r="G11" s="125" t="s">
        <v>7</v>
      </c>
      <c r="H11" s="125" t="s">
        <v>4</v>
      </c>
      <c r="I11" s="125" t="s">
        <v>5</v>
      </c>
      <c r="J11" s="125" t="s">
        <v>6</v>
      </c>
      <c r="K11" s="125"/>
    </row>
    <row r="12">
      <c r="A12" s="126">
        <v>270.0</v>
      </c>
      <c r="B12" s="127">
        <v>45912.0</v>
      </c>
      <c r="C12" s="127">
        <v>45978.0</v>
      </c>
      <c r="D12" s="126">
        <f>C12-B12</f>
        <v>66</v>
      </c>
      <c r="E12" s="126"/>
      <c r="G12" s="128">
        <v>200.0</v>
      </c>
      <c r="H12" s="129">
        <v>45910.0</v>
      </c>
      <c r="I12" s="129">
        <v>45948.0</v>
      </c>
      <c r="J12" s="128">
        <f t="shared" ref="J12:J15" si="3">I12-H12</f>
        <v>38</v>
      </c>
      <c r="K12" s="128">
        <f t="shared" ref="K12:K15" si="4">G12/J12</f>
        <v>5.263157895</v>
      </c>
    </row>
    <row r="13">
      <c r="A13" s="126">
        <v>270.0</v>
      </c>
      <c r="B13" s="127">
        <v>45978.0</v>
      </c>
      <c r="C13" s="130"/>
      <c r="D13" s="130"/>
      <c r="E13" s="130"/>
      <c r="G13" s="128">
        <v>210.0</v>
      </c>
      <c r="H13" s="129">
        <v>45949.0</v>
      </c>
      <c r="I13" s="131">
        <v>45989.0</v>
      </c>
      <c r="J13" s="128">
        <f t="shared" si="3"/>
        <v>40</v>
      </c>
      <c r="K13" s="128">
        <f t="shared" si="4"/>
        <v>5.25</v>
      </c>
    </row>
    <row r="14">
      <c r="A14" s="132"/>
      <c r="B14" s="132"/>
      <c r="C14" s="130"/>
      <c r="D14" s="130"/>
      <c r="E14" s="130"/>
      <c r="G14" s="128">
        <v>55.0</v>
      </c>
      <c r="H14" s="129">
        <v>45990.0</v>
      </c>
      <c r="I14" s="131">
        <v>46000.0</v>
      </c>
      <c r="J14" s="128">
        <f t="shared" si="3"/>
        <v>10</v>
      </c>
      <c r="K14" s="128">
        <f t="shared" si="4"/>
        <v>5.5</v>
      </c>
    </row>
    <row r="15">
      <c r="A15" s="133"/>
      <c r="B15" s="133"/>
      <c r="C15" s="99"/>
      <c r="D15" s="99"/>
      <c r="E15" s="99"/>
      <c r="G15" s="134">
        <v>210.0</v>
      </c>
      <c r="H15" s="135">
        <v>46064.0</v>
      </c>
      <c r="I15" s="135"/>
      <c r="J15" s="128">
        <f t="shared" si="3"/>
        <v>-46064</v>
      </c>
      <c r="K15" s="128">
        <f t="shared" si="4"/>
        <v>-0.004558874609</v>
      </c>
    </row>
    <row r="17">
      <c r="A17" s="123" t="s">
        <v>30</v>
      </c>
      <c r="B17" s="38"/>
      <c r="C17" s="38"/>
      <c r="D17" s="38"/>
      <c r="E17" s="39"/>
      <c r="G17" s="136" t="s">
        <v>31</v>
      </c>
      <c r="H17" s="38"/>
      <c r="I17" s="38"/>
      <c r="J17" s="38"/>
      <c r="K17" s="39"/>
    </row>
    <row r="18">
      <c r="A18" s="125" t="s">
        <v>32</v>
      </c>
      <c r="B18" s="125" t="s">
        <v>4</v>
      </c>
      <c r="C18" s="125" t="s">
        <v>5</v>
      </c>
      <c r="D18" s="125" t="s">
        <v>6</v>
      </c>
      <c r="E18" s="125"/>
      <c r="G18" s="137" t="s">
        <v>12</v>
      </c>
      <c r="H18" s="137" t="s">
        <v>4</v>
      </c>
      <c r="I18" s="137" t="s">
        <v>5</v>
      </c>
      <c r="J18" s="137" t="s">
        <v>6</v>
      </c>
      <c r="K18" s="137"/>
    </row>
    <row r="19">
      <c r="A19" s="128">
        <v>30.0</v>
      </c>
      <c r="B19" s="129">
        <v>45910.0</v>
      </c>
      <c r="C19" s="131"/>
      <c r="D19" s="128">
        <f>C19-B19</f>
        <v>-45910</v>
      </c>
      <c r="E19" s="128"/>
      <c r="G19" s="128">
        <v>60.0</v>
      </c>
      <c r="H19" s="129">
        <v>45910.0</v>
      </c>
      <c r="I19" s="129">
        <v>45935.0</v>
      </c>
      <c r="J19" s="128">
        <f>I19-H19</f>
        <v>25</v>
      </c>
      <c r="K19" s="128">
        <f>G19/J19</f>
        <v>2.4</v>
      </c>
    </row>
    <row r="20">
      <c r="A20" s="128"/>
      <c r="B20" s="138"/>
      <c r="C20" s="139"/>
      <c r="D20" s="139"/>
      <c r="E20" s="139"/>
      <c r="G20" s="128">
        <v>180.0</v>
      </c>
      <c r="H20" s="129">
        <v>45942.0</v>
      </c>
      <c r="I20" s="139"/>
      <c r="J20" s="139"/>
      <c r="K20" s="139"/>
    </row>
    <row r="21">
      <c r="A21" s="140"/>
      <c r="B21" s="140"/>
      <c r="C21" s="139"/>
      <c r="D21" s="139"/>
      <c r="E21" s="139"/>
      <c r="G21" s="140"/>
      <c r="H21" s="140"/>
      <c r="I21" s="139"/>
      <c r="J21" s="139"/>
      <c r="K21" s="139"/>
    </row>
  </sheetData>
  <mergeCells count="6">
    <mergeCell ref="A2:E2"/>
    <mergeCell ref="G2:K2"/>
    <mergeCell ref="A10:E10"/>
    <mergeCell ref="G10:K10"/>
    <mergeCell ref="A17:E17"/>
    <mergeCell ref="G17:K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sheetData>
    <row r="2">
      <c r="A2" s="109" t="s">
        <v>33</v>
      </c>
      <c r="B2" s="38"/>
      <c r="C2" s="38"/>
      <c r="D2" s="38"/>
      <c r="E2" s="39"/>
      <c r="G2" s="141" t="s">
        <v>34</v>
      </c>
      <c r="H2" s="4"/>
      <c r="I2" s="4"/>
      <c r="J2" s="4"/>
      <c r="K2" s="5"/>
    </row>
    <row r="3">
      <c r="A3" s="111" t="s">
        <v>7</v>
      </c>
      <c r="B3" s="111" t="s">
        <v>4</v>
      </c>
      <c r="C3" s="111" t="s">
        <v>5</v>
      </c>
      <c r="D3" s="111" t="s">
        <v>6</v>
      </c>
      <c r="E3" s="111"/>
      <c r="G3" s="142" t="s">
        <v>7</v>
      </c>
      <c r="H3" s="142" t="s">
        <v>4</v>
      </c>
      <c r="I3" s="142" t="s">
        <v>5</v>
      </c>
      <c r="J3" s="142" t="s">
        <v>6</v>
      </c>
      <c r="K3" s="142" t="s">
        <v>35</v>
      </c>
    </row>
    <row r="4">
      <c r="A4" s="113">
        <v>3750.0</v>
      </c>
      <c r="B4" s="114">
        <v>45884.0</v>
      </c>
      <c r="C4" s="143">
        <v>46041.0</v>
      </c>
      <c r="D4" s="113">
        <f>C4-B4</f>
        <v>157</v>
      </c>
      <c r="E4" s="113"/>
      <c r="G4" s="52">
        <v>7800.0</v>
      </c>
      <c r="H4" s="53">
        <v>45864.0</v>
      </c>
      <c r="I4" s="53">
        <v>45888.0</v>
      </c>
      <c r="J4" s="52">
        <f t="shared" ref="J4:J6" si="1">I4-H4</f>
        <v>24</v>
      </c>
      <c r="K4" s="52">
        <f t="shared" ref="K4:K6" si="2">G4/J4</f>
        <v>325</v>
      </c>
    </row>
    <row r="5">
      <c r="A5" s="113">
        <v>3800.0</v>
      </c>
      <c r="B5" s="144">
        <v>46043.0</v>
      </c>
      <c r="C5" s="117"/>
      <c r="D5" s="117"/>
      <c r="E5" s="117"/>
      <c r="G5" s="145">
        <v>7800.0</v>
      </c>
      <c r="H5" s="53">
        <v>45895.0</v>
      </c>
      <c r="I5" s="53">
        <v>45947.0</v>
      </c>
      <c r="J5" s="52">
        <f t="shared" si="1"/>
        <v>52</v>
      </c>
      <c r="K5" s="52">
        <f t="shared" si="2"/>
        <v>150</v>
      </c>
    </row>
    <row r="6">
      <c r="A6" s="118"/>
      <c r="B6" s="118"/>
      <c r="C6" s="117"/>
      <c r="D6" s="117"/>
      <c r="E6" s="117"/>
      <c r="G6" s="145">
        <v>7800.0</v>
      </c>
      <c r="H6" s="53">
        <v>45951.0</v>
      </c>
      <c r="I6" s="146">
        <v>45996.0</v>
      </c>
      <c r="J6" s="52">
        <f t="shared" si="1"/>
        <v>45</v>
      </c>
      <c r="K6" s="52">
        <f t="shared" si="2"/>
        <v>173.3333333</v>
      </c>
    </row>
    <row r="8">
      <c r="A8" s="122" t="s">
        <v>36</v>
      </c>
      <c r="B8" s="38"/>
      <c r="C8" s="38"/>
      <c r="D8" s="38"/>
      <c r="E8" s="39"/>
      <c r="G8" s="147" t="s">
        <v>36</v>
      </c>
      <c r="H8" s="38"/>
      <c r="I8" s="38"/>
      <c r="J8" s="38"/>
      <c r="K8" s="39"/>
    </row>
    <row r="9">
      <c r="A9" s="124" t="s">
        <v>7</v>
      </c>
      <c r="B9" s="124" t="s">
        <v>4</v>
      </c>
      <c r="C9" s="124" t="s">
        <v>5</v>
      </c>
      <c r="D9" s="124" t="s">
        <v>6</v>
      </c>
      <c r="E9" s="124"/>
      <c r="G9" s="148" t="s">
        <v>7</v>
      </c>
      <c r="H9" s="148" t="s">
        <v>4</v>
      </c>
      <c r="I9" s="148" t="s">
        <v>5</v>
      </c>
      <c r="J9" s="148" t="s">
        <v>6</v>
      </c>
      <c r="K9" s="148"/>
    </row>
    <row r="10">
      <c r="A10" s="126">
        <v>3750.0</v>
      </c>
      <c r="B10" s="127">
        <v>45972.0</v>
      </c>
      <c r="C10" s="149"/>
      <c r="D10" s="126">
        <f>C10-B10</f>
        <v>-45972</v>
      </c>
      <c r="E10" s="126"/>
      <c r="G10" s="150">
        <v>1800.0</v>
      </c>
      <c r="H10" s="151">
        <v>45972.0</v>
      </c>
      <c r="I10" s="152">
        <v>46009.0</v>
      </c>
      <c r="J10" s="150">
        <f>I10-H10</f>
        <v>37</v>
      </c>
      <c r="K10" s="150"/>
    </row>
    <row r="11">
      <c r="A11" s="126"/>
      <c r="B11" s="153"/>
      <c r="C11" s="130"/>
      <c r="D11" s="130"/>
      <c r="E11" s="130"/>
      <c r="G11" s="150"/>
      <c r="H11" s="154"/>
      <c r="I11" s="155"/>
      <c r="J11" s="155"/>
      <c r="K11" s="155"/>
    </row>
    <row r="12">
      <c r="A12" s="132"/>
      <c r="B12" s="132"/>
      <c r="C12" s="130"/>
      <c r="D12" s="130"/>
      <c r="E12" s="130"/>
      <c r="G12" s="156"/>
      <c r="H12" s="156"/>
      <c r="I12" s="155"/>
      <c r="J12" s="155"/>
      <c r="K12" s="155"/>
    </row>
  </sheetData>
  <mergeCells count="4">
    <mergeCell ref="A2:E2"/>
    <mergeCell ref="G2:K2"/>
    <mergeCell ref="A8:E8"/>
    <mergeCell ref="G8:K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sheetData>
    <row r="2">
      <c r="A2" s="147" t="s">
        <v>37</v>
      </c>
      <c r="B2" s="38"/>
      <c r="C2" s="38"/>
      <c r="D2" s="38"/>
      <c r="E2" s="39"/>
      <c r="G2" s="157" t="s">
        <v>38</v>
      </c>
      <c r="H2" s="38"/>
      <c r="I2" s="38"/>
      <c r="J2" s="38"/>
      <c r="K2" s="39"/>
    </row>
    <row r="3">
      <c r="A3" s="148" t="s">
        <v>12</v>
      </c>
      <c r="B3" s="148" t="s">
        <v>4</v>
      </c>
      <c r="C3" s="148" t="s">
        <v>5</v>
      </c>
      <c r="D3" s="148" t="s">
        <v>6</v>
      </c>
      <c r="E3" s="148" t="s">
        <v>39</v>
      </c>
      <c r="G3" s="158" t="s">
        <v>7</v>
      </c>
      <c r="H3" s="158" t="s">
        <v>4</v>
      </c>
      <c r="I3" s="158" t="s">
        <v>5</v>
      </c>
      <c r="J3" s="158" t="s">
        <v>6</v>
      </c>
      <c r="K3" s="158"/>
    </row>
    <row r="4">
      <c r="A4" s="150">
        <v>96.0</v>
      </c>
      <c r="B4" s="151">
        <v>45886.0</v>
      </c>
      <c r="C4" s="151">
        <v>45908.0</v>
      </c>
      <c r="D4" s="150">
        <f t="shared" ref="D4:D8" si="1">C4-B4</f>
        <v>22</v>
      </c>
      <c r="E4" s="150">
        <f t="shared" ref="E4:E8" si="2">A4/D4</f>
        <v>4.363636364</v>
      </c>
      <c r="G4" s="113">
        <v>400.0</v>
      </c>
      <c r="H4" s="114">
        <v>45886.0</v>
      </c>
      <c r="I4" s="114">
        <v>45989.0</v>
      </c>
      <c r="J4" s="113">
        <f>I4-H4</f>
        <v>103</v>
      </c>
      <c r="K4" s="113"/>
    </row>
    <row r="5">
      <c r="A5" s="150">
        <v>96.0</v>
      </c>
      <c r="B5" s="151">
        <v>45908.0</v>
      </c>
      <c r="C5" s="151">
        <v>45931.0</v>
      </c>
      <c r="D5" s="150">
        <f t="shared" si="1"/>
        <v>23</v>
      </c>
      <c r="E5" s="150">
        <f t="shared" si="2"/>
        <v>4.173913043</v>
      </c>
      <c r="G5" s="113">
        <v>400.0</v>
      </c>
      <c r="H5" s="144">
        <v>45989.0</v>
      </c>
      <c r="I5" s="117"/>
      <c r="J5" s="117"/>
      <c r="K5" s="117"/>
    </row>
    <row r="6">
      <c r="A6" s="150">
        <v>96.0</v>
      </c>
      <c r="B6" s="151">
        <v>45931.0</v>
      </c>
      <c r="C6" s="151">
        <v>45953.0</v>
      </c>
      <c r="D6" s="150">
        <f t="shared" si="1"/>
        <v>22</v>
      </c>
      <c r="E6" s="150">
        <f t="shared" si="2"/>
        <v>4.363636364</v>
      </c>
      <c r="G6" s="118"/>
      <c r="H6" s="118"/>
      <c r="I6" s="117"/>
      <c r="J6" s="117"/>
      <c r="K6" s="117"/>
    </row>
    <row r="7">
      <c r="A7" s="159">
        <v>96.0</v>
      </c>
      <c r="B7" s="151">
        <v>45953.0</v>
      </c>
      <c r="C7" s="151">
        <v>45974.0</v>
      </c>
      <c r="D7" s="150">
        <f t="shared" si="1"/>
        <v>21</v>
      </c>
      <c r="E7" s="150">
        <f t="shared" si="2"/>
        <v>4.571428571</v>
      </c>
      <c r="G7" s="119"/>
      <c r="H7" s="119"/>
      <c r="I7" s="120"/>
      <c r="J7" s="120"/>
      <c r="K7" s="120"/>
    </row>
    <row r="8">
      <c r="A8" s="159">
        <v>96.0</v>
      </c>
      <c r="B8" s="151">
        <v>45974.0</v>
      </c>
      <c r="C8" s="160">
        <v>45996.0</v>
      </c>
      <c r="D8" s="150">
        <f t="shared" si="1"/>
        <v>22</v>
      </c>
      <c r="E8" s="150">
        <f t="shared" si="2"/>
        <v>4.363636364</v>
      </c>
      <c r="G8" s="119"/>
      <c r="H8" s="119"/>
      <c r="I8" s="120"/>
      <c r="J8" s="120"/>
      <c r="K8" s="120"/>
    </row>
    <row r="9">
      <c r="A9" s="159">
        <v>96.0</v>
      </c>
      <c r="B9" s="160">
        <v>45996.0</v>
      </c>
      <c r="C9" s="160"/>
      <c r="D9" s="159"/>
      <c r="E9" s="159"/>
      <c r="G9" s="119"/>
      <c r="H9" s="119"/>
      <c r="I9" s="120"/>
      <c r="J9" s="120"/>
      <c r="K9" s="120"/>
    </row>
    <row r="11">
      <c r="A11" s="161" t="s">
        <v>40</v>
      </c>
      <c r="B11" s="38"/>
      <c r="C11" s="38"/>
      <c r="D11" s="38"/>
      <c r="E11" s="39"/>
      <c r="G11" s="162" t="s">
        <v>41</v>
      </c>
      <c r="H11" s="38"/>
      <c r="I11" s="38"/>
      <c r="J11" s="38"/>
      <c r="K11" s="39"/>
    </row>
    <row r="12">
      <c r="A12" s="163" t="s">
        <v>7</v>
      </c>
      <c r="B12" s="163" t="s">
        <v>4</v>
      </c>
      <c r="C12" s="163" t="s">
        <v>5</v>
      </c>
      <c r="D12" s="163" t="s">
        <v>6</v>
      </c>
      <c r="E12" s="163" t="s">
        <v>42</v>
      </c>
      <c r="G12" s="164" t="s">
        <v>7</v>
      </c>
      <c r="H12" s="164" t="s">
        <v>4</v>
      </c>
      <c r="I12" s="164" t="s">
        <v>5</v>
      </c>
      <c r="J12" s="164" t="s">
        <v>6</v>
      </c>
      <c r="K12" s="164"/>
    </row>
    <row r="13">
      <c r="A13" s="165">
        <v>120.0</v>
      </c>
      <c r="B13" s="166">
        <v>45554.0</v>
      </c>
      <c r="C13" s="167">
        <v>45904.0</v>
      </c>
      <c r="D13" s="165">
        <f>C13-B13</f>
        <v>350</v>
      </c>
      <c r="E13" s="165">
        <f>A13/D13</f>
        <v>0.3428571429</v>
      </c>
      <c r="G13" s="128">
        <v>400.0</v>
      </c>
      <c r="H13" s="129">
        <v>45906.0</v>
      </c>
      <c r="I13" s="131">
        <v>45966.0</v>
      </c>
      <c r="J13" s="128">
        <f t="shared" ref="J13:J14" si="3">I13-H13</f>
        <v>60</v>
      </c>
      <c r="K13" s="128">
        <f t="shared" ref="K13:K14" si="4">G13/J13</f>
        <v>6.666666667</v>
      </c>
    </row>
    <row r="14">
      <c r="A14" s="165"/>
      <c r="B14" s="168"/>
      <c r="C14" s="169"/>
      <c r="D14" s="169"/>
      <c r="E14" s="169"/>
      <c r="G14" s="128">
        <v>220.0</v>
      </c>
      <c r="H14" s="138">
        <v>45967.0</v>
      </c>
      <c r="I14" s="131">
        <v>45999.0</v>
      </c>
      <c r="J14" s="128">
        <f t="shared" si="3"/>
        <v>32</v>
      </c>
      <c r="K14" s="128">
        <f t="shared" si="4"/>
        <v>6.875</v>
      </c>
    </row>
    <row r="15">
      <c r="A15" s="170"/>
      <c r="B15" s="170"/>
      <c r="C15" s="169"/>
      <c r="D15" s="169"/>
      <c r="E15" s="169"/>
      <c r="G15" s="128">
        <v>440.0</v>
      </c>
      <c r="H15" s="129">
        <v>46000.0</v>
      </c>
      <c r="I15" s="139"/>
      <c r="J15" s="139"/>
      <c r="K15" s="139"/>
    </row>
  </sheetData>
  <mergeCells count="4">
    <mergeCell ref="A2:E2"/>
    <mergeCell ref="G2:K2"/>
    <mergeCell ref="A11:E11"/>
    <mergeCell ref="G11:K11"/>
  </mergeCells>
  <drawing r:id="rId1"/>
</worksheet>
</file>